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概要" sheetId="1" state="visible" r:id="rId1"/>
    <sheet name="F1_単体性能" sheetId="2" state="visible" r:id="rId2"/>
    <sheet name="F2_飽和点_B" sheetId="3" state="visible" r:id="rId3"/>
    <sheet name="F2_飽和点_C" sheetId="4" state="visible" r:id="rId4"/>
    <sheet name="F2_連続投入_E" sheetId="5" state="visible" r:id="rId5"/>
    <sheet name="F3_E2E測定" sheetId="6" state="visible" r:id="rId6"/>
    <sheet name="収容ユーザー試算" sheetId="7" state="visible" r:id="rId7"/>
    <sheet name="Difyコンテナスケール算出" sheetId="8" state="visible" r:id="rId8"/>
    <sheet name="結果サマリ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4"/>
    </font>
    <font>
      <name val="メイリオ"/>
      <charset val="1"/>
      <family val="0"/>
      <i val="1"/>
      <color rgb="FF555555"/>
      <sz val="9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FFFFFF"/>
      <sz val="9"/>
    </font>
    <font>
      <name val="メイリオ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メイリオ"/>
      <charset val="1"/>
      <family val="0"/>
      <sz val="10"/>
    </font>
    <font>
      <name val="Noto Sans CJK SC"/>
      <family val="2"/>
      <i val="1"/>
      <color rgb="FF555555"/>
      <sz val="9"/>
    </font>
    <font>
      <name val="メイリオ"/>
      <charset val="1"/>
      <family val="0"/>
      <b val="1"/>
      <color rgb="FFFFFFFF"/>
      <sz val="14"/>
    </font>
    <font>
      <name val="メイリオ"/>
      <charset val="1"/>
      <family val="0"/>
      <b val="1"/>
      <color rgb="FFFFFFFF"/>
      <sz val="9"/>
    </font>
    <font>
      <name val="Noto Sans CJK SC"/>
      <family val="2"/>
      <b val="1"/>
      <color rgb="FF555555"/>
      <sz val="9"/>
    </font>
    <font>
      <name val="メイリオ"/>
      <charset val="1"/>
      <family val="0"/>
      <b val="1"/>
      <color rgb="FF555555"/>
      <sz val="9"/>
    </font>
    <font>
      <name val="Consolas"/>
      <charset val="1"/>
      <family val="0"/>
      <color rgb="FF555555"/>
      <sz val="8"/>
    </font>
    <font>
      <name val="Calibri"/>
      <family val="2"/>
      <b val="1"/>
      <color rgb="FF000000"/>
      <sz val="18"/>
    </font>
    <font>
      <name val="Noto Sans CJK SC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メイリオ"/>
      <charset val="1"/>
      <family val="0"/>
      <b val="1"/>
      <color rgb="FFC8102E"/>
      <sz val="10"/>
    </font>
    <font>
      <name val="メイリオ"/>
      <charset val="1"/>
      <family val="0"/>
      <b val="1"/>
      <color rgb="FF0000FF"/>
      <sz val="11"/>
    </font>
    <font>
      <name val="Noto Sans CJK SC"/>
      <family val="2"/>
      <b val="1"/>
      <sz val="11"/>
    </font>
    <font>
      <name val="メイリオ"/>
      <charset val="1"/>
      <family val="0"/>
      <b val="1"/>
      <color rgb="FFC8102E"/>
      <sz val="14"/>
    </font>
    <font>
      <name val="Noto Sans CJK SC"/>
      <family val="2"/>
      <b val="1"/>
      <color rgb="FFC8102E"/>
      <sz val="10"/>
    </font>
    <font>
      <name val="メイリオ"/>
      <charset val="1"/>
      <family val="0"/>
      <b val="1"/>
      <color rgb="FFFFFFFF"/>
      <sz val="10"/>
    </font>
    <font>
      <name val="Noto Sans CJK SC"/>
      <family val="2"/>
      <b val="1"/>
      <color rgb="FFC8102E"/>
      <sz val="9"/>
    </font>
    <font>
      <name val="メイリオ"/>
      <charset val="1"/>
      <family val="0"/>
      <b val="1"/>
      <color rgb="FFC8102E"/>
      <sz val="9"/>
    </font>
  </fonts>
  <fills count="11">
    <fill>
      <patternFill/>
    </fill>
    <fill>
      <patternFill patternType="gray125"/>
    </fill>
    <fill>
      <patternFill patternType="solid">
        <fgColor rgb="FFC8102E"/>
        <bgColor rgb="FF800000"/>
      </patternFill>
    </fill>
    <fill>
      <patternFill patternType="solid">
        <fgColor rgb="FF404040"/>
        <bgColor rgb="FF555555"/>
      </patternFill>
    </fill>
    <fill>
      <patternFill patternType="solid">
        <fgColor rgb="FF1F1F1F"/>
        <bgColor rgb="FF003300"/>
      </patternFill>
    </fill>
    <fill>
      <patternFill patternType="solid">
        <fgColor rgb="FFFFFCE5"/>
        <bgColor rgb="FFFAFAFA"/>
      </patternFill>
    </fill>
    <fill>
      <patternFill patternType="solid">
        <fgColor rgb="FFEFEFEF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6B5500"/>
        <bgColor rgb="FF555555"/>
      </patternFill>
    </fill>
    <fill>
      <patternFill patternType="solid">
        <fgColor rgb="FF3A5570"/>
        <bgColor rgb="FF555555"/>
      </patternFill>
    </fill>
    <fill>
      <patternFill patternType="solid">
        <fgColor rgb="FFFAFAFA"/>
        <bgColor rgb="FFF9F9F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left" vertical="center" wrapText="1" indent="1"/>
    </xf>
    <xf numFmtId="0" fontId="24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25" fillId="0" borderId="1" applyAlignment="1" pivotButton="0" quotePrefix="0" xfId="0">
      <alignment horizontal="left" vertical="center" indent="1"/>
    </xf>
    <xf numFmtId="0" fontId="26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wrapText="1" indent="1"/>
    </xf>
    <xf numFmtId="0" fontId="13" fillId="2" borderId="0" applyAlignment="1" pivotButton="0" quotePrefix="0" xfId="0">
      <alignment horizontal="left" vertical="center" indent="1"/>
    </xf>
    <xf numFmtId="0" fontId="23" fillId="6" borderId="1" applyAlignment="1" pivotButton="0" quotePrefix="0" xfId="0">
      <alignment horizontal="center" vertical="center"/>
    </xf>
    <xf numFmtId="0" fontId="29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5" fillId="10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left" vertical="center" wrapText="1" indent="1"/>
    </xf>
    <xf numFmtId="0" fontId="24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25" fillId="0" borderId="1" applyAlignment="1" pivotButton="0" quotePrefix="0" xfId="0">
      <alignment horizontal="left" vertical="center" indent="1"/>
    </xf>
    <xf numFmtId="0" fontId="26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27" fillId="0" borderId="0" applyAlignment="1" pivotButton="0" quotePrefix="0" xfId="0">
      <alignment horizontal="left" vertical="center" wrapText="1" indent="1"/>
    </xf>
    <xf numFmtId="0" fontId="13" fillId="2" borderId="0" applyAlignment="1" pivotButton="0" quotePrefix="0" xfId="0">
      <alignment horizontal="left" vertical="center" indent="1"/>
    </xf>
    <xf numFmtId="0" fontId="23" fillId="6" borderId="1" applyAlignment="1" pivotButton="0" quotePrefix="0" xfId="0">
      <alignment horizontal="center" vertical="center"/>
    </xf>
    <xf numFmtId="0" fontId="29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500"/>
      <rgbColor rgb="FF800080"/>
      <rgbColor rgb="FF008080"/>
      <rgbColor rgb="FFD9D9D9"/>
      <rgbColor rgb="FF878787"/>
      <rgbColor rgb="FF9999FF"/>
      <rgbColor rgb="FFBE4B48"/>
      <rgbColor rgb="FFFFFCE5"/>
      <rgbColor rgb="FFEFEF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AFAF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1F1F1F"/>
      <rgbColor rgb="FF555555"/>
      <rgbColor rgb="FFC0504D"/>
      <rgbColor rgb="FF3A5570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E2Eレイテンシ推移 (中央値 / P95)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F2_飽和点_B!E4</f>
              <strCache>
                <ptCount val="1"/>
                <pt idx="0">
                  <v>E2E中央値
(秒)</v>
                </pt>
              </strCache>
            </strRef>
          </tx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F2_飽和点_B!$B$5:$B$8</f>
              <strCache>
                <ptCount val="4"/>
                <pt idx="0">
                  <v>5</v>
                </pt>
                <pt idx="1">
                  <v>10</v>
                </pt>
                <pt idx="2">
                  <v>20</v>
                </pt>
                <pt idx="3">
                  <v>40</v>
                </pt>
              </strCache>
            </strRef>
          </cat>
          <val>
            <numRef>
              <f>F2_飽和点_B!$E$5:$E$8</f>
              <numCache>
                <formatCode>General</formatCode>
                <ptCount val="4"/>
              </numCache>
            </numRef>
          </val>
          <smooth val="1"/>
        </ser>
        <ser>
          <idx val="1"/>
          <order val="1"/>
          <tx>
            <strRef>
              <f>F2_飽和点_B!G4</f>
              <strCache>
                <ptCount val="1"/>
                <pt idx="0">
                  <v>E2E P95
(秒)</v>
                </pt>
              </strCache>
            </strRef>
          </tx>
          <spPr>
            <a:solidFill>
              <a:srgbClr val="be4b48"/>
            </a:solidFill>
            <a:ln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F2_飽和点_B!$B$5:$B$8</f>
              <strCache>
                <ptCount val="4"/>
                <pt idx="0">
                  <v>5</v>
                </pt>
                <pt idx="1">
                  <v>10</v>
                </pt>
                <pt idx="2">
                  <v>20</v>
                </pt>
                <pt idx="3">
                  <v>40</v>
                </pt>
              </strCache>
            </strRef>
          </cat>
          <val>
            <numRef>
              <f>F2_飽和点_B!$G$5:$G$8</f>
              <numCache>
                <formatCode>General</formatCode>
                <ptCount val="4"/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22220986"/>
        <axId val="9697875"/>
      </lineChart>
      <catAx>
        <axId val="2222098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97875"/>
        <crosses val="autoZero"/>
        <auto val="1"/>
        <lblAlgn val="ctr"/>
        <lblOffset val="100"/>
        <noMultiLvlLbl val="0"/>
      </catAx>
      <valAx>
        <axId val="969787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E2E (秒)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22098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スループット (Requests/s)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F2_飽和点_B!I4</f>
              <strCache>
                <ptCount val="1"/>
                <pt idx="0">
                  <v>Requests/s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F2_飽和点_B!$B$5:$B$8</f>
              <strCache>
                <ptCount val="4"/>
                <pt idx="0">
                  <v>5</v>
                </pt>
                <pt idx="1">
                  <v>10</v>
                </pt>
                <pt idx="2">
                  <v>20</v>
                </pt>
                <pt idx="3">
                  <v>40</v>
                </pt>
              </strCache>
            </strRef>
          </cat>
          <val>
            <numRef>
              <f>F2_飽和点_B!$I$5:$I$8</f>
              <numCache>
                <formatCode>General</formatCode>
                <ptCount val="4"/>
              </numCache>
            </numRef>
          </val>
        </ser>
        <gapWidth val="150"/>
        <overlap val="0"/>
        <axId val="40080883"/>
        <axId val="284996"/>
      </barChart>
      <catAx>
        <axId val="40080883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4996"/>
        <crosses val="autoZero"/>
        <auto val="1"/>
        <lblAlgn val="ctr"/>
        <lblOffset val="100"/>
        <noMultiLvlLbl val="0"/>
      </catAx>
      <valAx>
        <axId val="28499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req/s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080883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E2Eレイテンシ推移 (中央値 / P95)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F2_飽和点_C!E4</f>
              <strCache>
                <ptCount val="1"/>
                <pt idx="0">
                  <v>E2E中央値
(秒)</v>
                </pt>
              </strCache>
            </strRef>
          </tx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F2_飽和点_C!$B$5:$B$7</f>
              <strCache>
                <ptCount val="3"/>
                <pt idx="0">
                  <v>5</v>
                </pt>
                <pt idx="1">
                  <v>10</v>
                </pt>
                <pt idx="2">
                  <v>13</v>
                </pt>
              </strCache>
            </strRef>
          </cat>
          <val>
            <numRef>
              <f>F2_飽和点_C!$E$5:$E$7</f>
              <numCache>
                <formatCode>General</formatCode>
                <ptCount val="3"/>
              </numCache>
            </numRef>
          </val>
          <smooth val="1"/>
        </ser>
        <ser>
          <idx val="1"/>
          <order val="1"/>
          <tx>
            <strRef>
              <f>F2_飽和点_C!G4</f>
              <strCache>
                <ptCount val="1"/>
                <pt idx="0">
                  <v>E2E P95
(秒)</v>
                </pt>
              </strCache>
            </strRef>
          </tx>
          <spPr>
            <a:solidFill>
              <a:srgbClr val="be4b48"/>
            </a:solidFill>
            <a:ln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F2_飽和点_C!$B$5:$B$7</f>
              <strCache>
                <ptCount val="3"/>
                <pt idx="0">
                  <v>5</v>
                </pt>
                <pt idx="1">
                  <v>10</v>
                </pt>
                <pt idx="2">
                  <v>13</v>
                </pt>
              </strCache>
            </strRef>
          </cat>
          <val>
            <numRef>
              <f>F2_飽和点_C!$G$5:$G$7</f>
              <numCache>
                <formatCode>General</formatCode>
                <ptCount val="3"/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31292696"/>
        <axId val="64024351"/>
      </lineChart>
      <catAx>
        <axId val="3129269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024351"/>
        <crosses val="autoZero"/>
        <auto val="1"/>
        <lblAlgn val="ctr"/>
        <lblOffset val="100"/>
        <noMultiLvlLbl val="0"/>
      </catAx>
      <valAx>
        <axId val="6402435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E2E (秒)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129269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スループット (Requests/s)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F2_飽和点_C!I4</f>
              <strCache>
                <ptCount val="1"/>
                <pt idx="0">
                  <v>Requests/s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F2_飽和点_C!$B$5:$B$7</f>
              <strCache>
                <ptCount val="3"/>
                <pt idx="0">
                  <v>5</v>
                </pt>
                <pt idx="1">
                  <v>10</v>
                </pt>
                <pt idx="2">
                  <v>13</v>
                </pt>
              </strCache>
            </strRef>
          </cat>
          <val>
            <numRef>
              <f>F2_飽和点_C!$I$5:$I$7</f>
              <numCache>
                <formatCode>General</formatCode>
                <ptCount val="3"/>
              </numCache>
            </numRef>
          </val>
        </ser>
        <gapWidth val="150"/>
        <overlap val="0"/>
        <axId val="60328169"/>
        <axId val="93789504"/>
      </barChart>
      <catAx>
        <axId val="60328169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3789504"/>
        <crosses val="autoZero"/>
        <auto val="1"/>
        <lblAlgn val="ctr"/>
        <lblOffset val="100"/>
        <noMultiLvlLbl val="0"/>
      </catAx>
      <valAx>
        <axId val="9378950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req/s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032816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同時実行数とトークン/分（目安: 200,000）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F2_連続投入_E!K4</f>
              <strCache>
                <ptCount val="1"/>
                <pt idx="0">
                  <v>トークン/分
(自動)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F2_連続投入_E!$B$5:$B$8</f>
              <strCache>
                <ptCount val="4"/>
                <pt idx="0">
                  <v>1</v>
                </pt>
                <pt idx="1">
                  <v>3</v>
                </pt>
                <pt idx="2">
                  <v>5</v>
                </pt>
                <pt idx="3">
                  <v>10</v>
                </pt>
              </strCache>
            </strRef>
          </cat>
          <val>
            <numRef>
              <f>F2_連続投入_E!$K$5:$K$8</f>
              <numCache>
                <formatCode>General</formatCode>
                <ptCount val="4"/>
              </numCache>
            </numRef>
          </val>
        </ser>
        <gapWidth val="150"/>
        <overlap val="0"/>
        <axId val="82771250"/>
        <axId val="7326130"/>
      </barChart>
      <catAx>
        <axId val="8277125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26130"/>
        <crosses val="autoZero"/>
        <auto val="1"/>
        <lblAlgn val="ctr"/>
        <lblOffset val="100"/>
        <noMultiLvlLbl val="0"/>
      </catAx>
      <valAx>
        <axId val="732613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トークン/分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277125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E2E内訳（LLM区間Duration + Dify処理時間）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F3_E2E測定!D4</f>
              <strCache>
                <ptCount val="1"/>
                <pt idx="0">
                  <v>LLM区間
Duration P95
(秒・LiteLLM)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F3_E2E測定!$B$5:$B$10</f>
              <strCache>
                <ptCount val="6"/>
                <pt idx="0">
                  <v>E2Eベースライン (同時5)</v>
                </pt>
                <pt idx="1">
                  <v>段階的負荷 (同時10)</v>
                </pt>
                <pt idx="2">
                  <v>段階的負荷 (同時20)</v>
                </pt>
                <pt idx="3">
                  <v>段階的負荷 (同時40)</v>
                </pt>
                <pt idx="4">
                  <v>RAGなしアプリ (同時5)</v>
                </pt>
                <pt idx="5">
                  <v>RAGありアプリ (同時5)</v>
                </pt>
              </strCache>
            </strRef>
          </cat>
          <val>
            <numRef>
              <f>F3_E2E測定!$D$5:$D$10</f>
              <numCache>
                <formatCode>General</formatCode>
                <ptCount val="6"/>
              </numCache>
            </numRef>
          </val>
        </ser>
        <ser>
          <idx val="1"/>
          <order val="1"/>
          <tx>
            <strRef>
              <f>F3_E2E測定!F4</f>
              <strCache>
                <ptCount val="1"/>
                <pt idx="0">
                  <v>Dify処理時間
(秒・自動)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F3_E2E測定!$B$5:$B$10</f>
              <strCache>
                <ptCount val="6"/>
                <pt idx="0">
                  <v>E2Eベースライン (同時5)</v>
                </pt>
                <pt idx="1">
                  <v>段階的負荷 (同時10)</v>
                </pt>
                <pt idx="2">
                  <v>段階的負荷 (同時20)</v>
                </pt>
                <pt idx="3">
                  <v>段階的負荷 (同時40)</v>
                </pt>
                <pt idx="4">
                  <v>RAGなしアプリ (同時5)</v>
                </pt>
                <pt idx="5">
                  <v>RAGありアプリ (同時5)</v>
                </pt>
              </strCache>
            </strRef>
          </cat>
          <val>
            <numRef>
              <f>F3_E2E測定!$F$5:$F$10</f>
              <numCache>
                <formatCode>General</formatCode>
                <ptCount val="6"/>
              </numCache>
            </numRef>
          </val>
        </ser>
        <gapWidth val="150"/>
        <overlap val="100"/>
        <axId val="75035430"/>
        <axId val="76900885"/>
      </barChart>
      <catAx>
        <axId val="7503543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6900885"/>
        <crosses val="autoZero"/>
        <auto val="1"/>
        <lblAlgn val="ctr"/>
        <lblOffset val="100"/>
        <noMultiLvlLbl val="0"/>
      </catAx>
      <valAx>
        <axId val="7690088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秒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03543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同時実行数と収容ユーザー数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収容ユーザー試算!B16</f>
              <strCache>
                <ptCount val="1"/>
                <pt idx="0">
                  <v>収容ユーザー数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収容ユーザー試算!$A$17:$A$21</f>
              <strCache>
                <ptCount val="5"/>
                <pt idx="0">
                  <v>5</v>
                </pt>
                <pt idx="1">
                  <v>10</v>
                </pt>
                <pt idx="2">
                  <v>20</v>
                </pt>
                <pt idx="3">
                  <v>30</v>
                </pt>
                <pt idx="4">
                  <v>40</v>
                </pt>
              </strCache>
            </strRef>
          </cat>
          <val>
            <numRef>
              <f>収容ユーザー試算!$B$17:$B$21</f>
              <numCache>
                <formatCode>General</formatCode>
                <ptCount val="5"/>
                <pt idx="0">
                  <v>25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</numCache>
            </numRef>
          </val>
        </ser>
        <gapWidth val="150"/>
        <overlap val="0"/>
        <axId val="6842455"/>
        <axId val="56678832"/>
      </barChart>
      <catAx>
        <axId val="684245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実効同時実行数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678832"/>
        <crosses val="autoZero"/>
        <auto val="1"/>
        <lblAlgn val="ctr"/>
        <lblOffset val="100"/>
        <noMultiLvlLbl val="0"/>
      </catAx>
      <valAx>
        <axId val="5667883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収容ユーザー数 (人)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4245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コンテナ別 必要vCPU (現在割当との比較)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Difyコンテナスケール算出!B5</f>
              <strCache>
                <ptCount val="1"/>
                <pt idx="0">
                  <v>現在の割当
vCPU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Difyコンテナスケール算出!$A$6:$A$10</f>
              <strCache>
                <ptCount val="5"/>
                <pt idx="0">
                  <v>dify-api</v>
                </pt>
                <pt idx="1">
                  <v>dify-worker</v>
                </pt>
                <pt idx="2">
                  <v>dify-web</v>
                </pt>
                <pt idx="3">
                  <v>dify-plugin_daemon</v>
                </pt>
                <pt idx="4">
                  <v>dify-sandbox</v>
                </pt>
              </strCache>
            </strRef>
          </cat>
          <val>
            <numRef>
              <f>Difyコンテナスケール算出!$B$6:$B$10</f>
              <numCache>
                <formatCode>General</formatCode>
                <ptCount val="5"/>
                <pt idx="0">
                  <v>2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1</v>
                </pt>
              </numCache>
            </numRef>
          </val>
        </ser>
        <ser>
          <idx val="1"/>
          <order val="1"/>
          <tx>
            <strRef>
              <f>Difyコンテナスケール算出!G5</f>
              <strCache>
                <ptCount val="1"/>
                <pt idx="0">
                  <v>必要vCPU
(自動)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Difyコンテナスケール算出!$A$6:$A$10</f>
              <strCache>
                <ptCount val="5"/>
                <pt idx="0">
                  <v>dify-api</v>
                </pt>
                <pt idx="1">
                  <v>dify-worker</v>
                </pt>
                <pt idx="2">
                  <v>dify-web</v>
                </pt>
                <pt idx="3">
                  <v>dify-plugin_daemon</v>
                </pt>
                <pt idx="4">
                  <v>dify-sandbox</v>
                </pt>
              </strCache>
            </strRef>
          </cat>
          <val>
            <numRef>
              <f>Difyコンテナスケール算出!$G$6:$G$10</f>
              <numCache>
                <formatCode>General</formatCode>
                <ptCount val="5"/>
              </numCache>
            </numRef>
          </val>
        </ser>
        <gapWidth val="150"/>
        <overlap val="0"/>
        <axId val="6452556"/>
        <axId val="93570760"/>
      </barChart>
      <catAx>
        <axId val="64525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3570760"/>
        <crosses val="autoZero"/>
        <auto val="1"/>
        <lblAlgn val="ctr"/>
        <lblOffset val="100"/>
        <noMultiLvlLbl val="0"/>
      </catAx>
      <valAx>
        <axId val="9357076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vCPU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5255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13</row>
      <rowOff>21600</rowOff>
    </from>
    <to>
      <col>8</col>
      <colOff>261720</colOff>
      <row>28</row>
      <rowOff>43560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13</row>
      <rowOff>21600</rowOff>
    </from>
    <to>
      <col>17</col>
      <colOff>235080</colOff>
      <row>28</row>
      <rowOff>43560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12</row>
      <rowOff>21600</rowOff>
    </from>
    <to>
      <col>8</col>
      <colOff>261720</colOff>
      <row>27</row>
      <rowOff>43920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12</row>
      <rowOff>21600</rowOff>
    </from>
    <to>
      <col>17</col>
      <colOff>235080</colOff>
      <row>27</row>
      <rowOff>43920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13</row>
      <rowOff>21600</rowOff>
    </from>
    <to>
      <col>8</col>
      <colOff>629280</colOff>
      <row>28</row>
      <rowOff>43560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15</row>
      <rowOff>21600</rowOff>
    </from>
    <to>
      <col>6</col>
      <colOff>770400</colOff>
      <row>30</row>
      <rowOff>43560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16</row>
      <rowOff>0</rowOff>
    </from>
    <to>
      <col>7</col>
      <colOff>10440</colOff>
      <row>28</row>
      <rowOff>164880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14</row>
      <rowOff>21600</rowOff>
    </from>
    <to>
      <col>4</col>
      <colOff>1686600</colOff>
      <row>29</row>
      <rowOff>43560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1" min="1" max="1"/>
    <col width="42" customWidth="1" style="51" min="2" max="2"/>
    <col width="16" customWidth="1" style="51" min="3" max="3"/>
    <col width="30" customWidth="1" style="51" min="4" max="4"/>
  </cols>
  <sheetData>
    <row r="1" ht="30" customHeight="1" s="52">
      <c r="A1" s="53" t="inlineStr">
        <is>
          <t>10. 性能テスト 結果記録シート ― 概要</t>
        </is>
      </c>
    </row>
    <row r="2" ht="18" customHeight="1" s="52">
      <c r="A2" s="54" t="inlineStr">
        <is>
          <t>対象システム: &lt;SYSTEM_NAME&gt; (Dify + LiteLLM + vLLM) / モデル: &lt;VLLM_MODEL_ID&gt;</t>
        </is>
      </c>
    </row>
    <row r="4" ht="21.75" customHeight="1" s="52">
      <c r="A4" s="55" t="inlineStr">
        <is>
          <t>本ファイルの構成</t>
        </is>
      </c>
    </row>
    <row r="5" ht="30" customHeight="1" s="52">
      <c r="A5" s="56" t="inlineStr">
        <is>
          <t>シート</t>
        </is>
      </c>
      <c r="B5" s="56" t="inlineStr">
        <is>
          <t>内容</t>
        </is>
      </c>
      <c r="C5" s="56" t="inlineStr">
        <is>
          <t>対応フェーズ</t>
        </is>
      </c>
      <c r="D5" s="56" t="inlineStr">
        <is>
          <t>備考</t>
        </is>
      </c>
    </row>
    <row r="6" ht="24" customHeight="1" s="52">
      <c r="A6" s="57" t="inlineStr">
        <is>
          <t>F1_単体性能</t>
        </is>
      </c>
      <c r="B6" s="58" t="inlineStr">
        <is>
          <t>並列1でのベースライン測定値</t>
        </is>
      </c>
      <c r="C6" s="58" t="inlineStr">
        <is>
          <t>フェーズ1</t>
        </is>
      </c>
      <c r="D6" s="58" t="inlineStr">
        <is>
          <t>以降の比較基準</t>
        </is>
      </c>
    </row>
    <row r="7" ht="24" customHeight="1" s="52">
      <c r="A7" s="57" t="inlineStr">
        <is>
          <t>F2_飽和点_B</t>
        </is>
      </c>
      <c r="B7" s="58" t="inlineStr">
        <is>
          <t>プロファイルB (RAG標準) の負荷段階測定</t>
        </is>
      </c>
      <c r="C7" s="58" t="inlineStr">
        <is>
          <t>フェーズ2</t>
        </is>
      </c>
      <c r="D7" s="58" t="inlineStr">
        <is>
          <t>★最重要・グラフ付き</t>
        </is>
      </c>
    </row>
    <row r="8" ht="24" customHeight="1" s="52">
      <c r="A8" s="57" t="inlineStr">
        <is>
          <t>F2_飽和点_C</t>
        </is>
      </c>
      <c r="B8" s="58" t="inlineStr">
        <is>
          <t>プロファイルC (RAG大) の負荷段階測定</t>
        </is>
      </c>
      <c r="C8" s="58" t="inlineStr">
        <is>
          <t>フェーズ2</t>
        </is>
      </c>
      <c r="D8" s="58" t="inlineStr">
        <is>
          <t>グラフ付き</t>
        </is>
      </c>
    </row>
    <row r="9" ht="24" customHeight="1" s="52">
      <c r="A9" s="57" t="inlineStr">
        <is>
          <t>F2_連続投入_E</t>
        </is>
      </c>
      <c r="B9" s="59" t="inlineStr">
        <is>
          <t>MAXトークン付近の連続投入試験 (Locust+LiteLLM記録)</t>
        </is>
      </c>
      <c r="C9" s="58" t="inlineStr">
        <is>
          <t>フェーズ2-3</t>
        </is>
      </c>
      <c r="D9" s="58" t="inlineStr">
        <is>
          <t>目安200,000トークン/分・グラフ付き</t>
        </is>
      </c>
    </row>
    <row r="10" ht="24" customHeight="1" s="52">
      <c r="A10" s="57" t="inlineStr">
        <is>
          <t>F3_E2E測定</t>
        </is>
      </c>
      <c r="B10" s="59" t="inlineStr">
        <is>
          <t>Locust実測(E2E)とLiteLLM記録(TTFT/Duration)の突き合わせ</t>
        </is>
      </c>
      <c r="C10" s="58" t="inlineStr">
        <is>
          <t>フェーズ3</t>
        </is>
      </c>
      <c r="D10" s="59" t="inlineStr">
        <is>
          <t>Dify処理時間を自動算出</t>
        </is>
      </c>
    </row>
    <row r="11" ht="24" customHeight="1" s="52">
      <c r="A11" s="60" t="inlineStr">
        <is>
          <t>収容ユーザー試算</t>
        </is>
      </c>
      <c r="B11" s="58" t="inlineStr">
        <is>
          <t>飽和点から収容人数を自動算出</t>
        </is>
      </c>
      <c r="C11" s="58" t="inlineStr">
        <is>
          <t>結果整理</t>
        </is>
      </c>
      <c r="D11" s="58" t="inlineStr">
        <is>
          <t>サイジング根拠</t>
        </is>
      </c>
    </row>
    <row r="12" ht="24" customHeight="1" s="52">
      <c r="A12" s="57" t="inlineStr">
        <is>
          <t>Difyコンテナスケール算出</t>
        </is>
      </c>
      <c r="B12" s="59" t="inlineStr">
        <is>
          <t>docker stats実測から必要vCPU/メモリ/レプリカ数を自動算出</t>
        </is>
      </c>
      <c r="C12" s="58" t="inlineStr">
        <is>
          <t>結果整理・7.5節</t>
        </is>
      </c>
      <c r="D12" s="58" t="inlineStr">
        <is>
          <t>垂直・水平スケール両対応</t>
        </is>
      </c>
    </row>
    <row r="13" ht="24" customHeight="1" s="52">
      <c r="A13" s="60" t="inlineStr">
        <is>
          <t>結果サマリ</t>
        </is>
      </c>
      <c r="B13" s="58" t="inlineStr">
        <is>
          <t>測定結果の最終表</t>
        </is>
      </c>
      <c r="C13" s="58" t="inlineStr">
        <is>
          <t>結果整理</t>
        </is>
      </c>
      <c r="D13" s="58" t="inlineStr">
        <is>
          <t>自動集計</t>
        </is>
      </c>
    </row>
    <row r="15" ht="21.75" customHeight="1" s="52">
      <c r="A15" s="55" t="inlineStr">
        <is>
          <t>セルの色分け（記入方法）</t>
        </is>
      </c>
    </row>
    <row r="16" ht="30" customHeight="1" s="52">
      <c r="A16" s="56" t="inlineStr">
        <is>
          <t>色</t>
        </is>
      </c>
      <c r="B16" s="56" t="inlineStr">
        <is>
          <t>意味</t>
        </is>
      </c>
      <c r="C16" s="56" t="inlineStr">
        <is>
          <t>操作</t>
        </is>
      </c>
      <c r="D16" s="56" t="inlineStr">
        <is>
          <t>備考</t>
        </is>
      </c>
    </row>
    <row r="17" ht="21.75" customHeight="1" s="52">
      <c r="A17" s="61" t="inlineStr">
        <is>
          <t>薄クリーム</t>
        </is>
      </c>
      <c r="B17" s="58" t="inlineStr">
        <is>
          <t>測定値の記入欄</t>
        </is>
      </c>
      <c r="C17" s="58" t="inlineStr">
        <is>
          <t>手入力</t>
        </is>
      </c>
      <c r="D17" s="58" t="inlineStr">
        <is>
          <t>テスト結果をここに入力</t>
        </is>
      </c>
    </row>
    <row r="18" ht="21.75" customHeight="1" s="52">
      <c r="A18" s="62" t="inlineStr">
        <is>
          <t>薄グレー</t>
        </is>
      </c>
      <c r="B18" s="58" t="inlineStr">
        <is>
          <t>自動計算セル</t>
        </is>
      </c>
      <c r="C18" s="58" t="inlineStr">
        <is>
          <t>編集不可</t>
        </is>
      </c>
      <c r="D18" s="58" t="inlineStr">
        <is>
          <t>数式が入っています</t>
        </is>
      </c>
    </row>
    <row r="19" ht="21.75" customHeight="1" s="52">
      <c r="A19" s="63" t="inlineStr">
        <is>
          <t>白</t>
        </is>
      </c>
      <c r="B19" s="58" t="inlineStr">
        <is>
          <t>条件・ラベル</t>
        </is>
      </c>
      <c r="C19" s="58" t="inlineStr">
        <is>
          <t>原則そのまま</t>
        </is>
      </c>
      <c r="D19" s="58" t="inlineStr">
        <is>
          <t>必要に応じて調整可</t>
        </is>
      </c>
    </row>
    <row r="21" ht="21.75" customHeight="1" s="52">
      <c r="A21" s="55" t="inlineStr">
        <is>
          <t>許容範囲の目安（判定基準）</t>
        </is>
      </c>
    </row>
    <row r="22" ht="30" customHeight="1" s="52">
      <c r="A22" s="56" t="inlineStr">
        <is>
          <t>指標</t>
        </is>
      </c>
      <c r="B22" s="56" t="inlineStr">
        <is>
          <t>快適</t>
        </is>
      </c>
      <c r="C22" s="56" t="inlineStr">
        <is>
          <t>許容</t>
        </is>
      </c>
      <c r="D22" s="56" t="inlineStr">
        <is>
          <t>不可</t>
        </is>
      </c>
    </row>
    <row r="23" ht="21.75" customHeight="1" s="52">
      <c r="A23" s="64" t="inlineStr">
        <is>
          <t>TTFT (Time To First Token)</t>
        </is>
      </c>
      <c r="B23" s="65" t="inlineStr">
        <is>
          <t>&lt; 1.0秒</t>
        </is>
      </c>
      <c r="C23" s="65" t="inlineStr">
        <is>
          <t>&lt; 3.0秒</t>
        </is>
      </c>
      <c r="D23" s="65" t="inlineStr">
        <is>
          <t>&gt; 5.0秒</t>
        </is>
      </c>
    </row>
    <row r="24" ht="21.75" customHeight="1" s="52">
      <c r="A24" s="64" t="inlineStr">
        <is>
          <t>TPOT (Time Per Output Token)</t>
        </is>
      </c>
      <c r="B24" s="65" t="inlineStr">
        <is>
          <t>&lt; 30ms</t>
        </is>
      </c>
      <c r="C24" s="65" t="inlineStr">
        <is>
          <t>&lt; 50ms</t>
        </is>
      </c>
      <c r="D24" s="65" t="inlineStr">
        <is>
          <t>&gt; 100ms</t>
        </is>
      </c>
    </row>
    <row r="25" ht="21.75" customHeight="1" s="52">
      <c r="A25" s="66" t="inlineStr">
        <is>
          <t>エラー率</t>
        </is>
      </c>
      <c r="B25" s="65" t="inlineStr">
        <is>
          <t>0%</t>
        </is>
      </c>
      <c r="C25" s="65" t="inlineStr">
        <is>
          <t>&lt; 0.1%</t>
        </is>
      </c>
      <c r="D25" s="65" t="inlineStr">
        <is>
          <t>&gt; 1%</t>
        </is>
      </c>
    </row>
    <row r="27" ht="14.15" customHeight="1" s="52">
      <c r="A27" s="67" t="inlineStr">
        <is>
          <t>※ 日本語は1トークンあたりの文字数が英語より少ないため、TPOT 50msでも体感はやや遅い。日本語主体ならTPOT 30ms以内を目標とする。</t>
        </is>
      </c>
    </row>
  </sheetData>
  <mergeCells count="6">
    <mergeCell ref="A1:D1"/>
    <mergeCell ref="A27:D27"/>
    <mergeCell ref="A4:D4"/>
    <mergeCell ref="A21:D21"/>
    <mergeCell ref="A15:D15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1" min="1" max="1"/>
    <col width="18" customWidth="1" style="51" min="2" max="2"/>
    <col width="10" customWidth="1" style="51" min="3" max="4"/>
    <col width="11" customWidth="1" style="51" min="5" max="9"/>
    <col width="10" customWidth="1" style="51" min="10" max="10"/>
  </cols>
  <sheetData>
    <row r="1" ht="30" customHeight="1" s="52">
      <c r="A1" s="53" t="inlineStr">
        <is>
          <t>フェーズ1: 単体性能（ベースライン測定）</t>
        </is>
      </c>
    </row>
    <row r="2" ht="18" customHeight="1" s="52">
      <c r="A2" s="67" t="inlineStr">
        <is>
          <t>並列1における理論最速値。以降の比較基準とする / 経路: vLLM直接</t>
        </is>
      </c>
    </row>
    <row r="4" ht="30" customHeight="1" s="52">
      <c r="A4" s="68" t="inlineStr">
        <is>
          <t>#</t>
        </is>
      </c>
      <c r="B4" s="56" t="inlineStr">
        <is>
          <t>プロファイル</t>
        </is>
      </c>
      <c r="C4" s="56" t="inlineStr">
        <is>
          <t>入力
トークン</t>
        </is>
      </c>
      <c r="D4" s="56" t="inlineStr">
        <is>
          <t>出力
トークン</t>
        </is>
      </c>
      <c r="E4" s="69" t="inlineStr">
        <is>
          <t>TTFT P50
(秒)</t>
        </is>
      </c>
      <c r="F4" s="69" t="inlineStr">
        <is>
          <t>TTFT P95
(秒)</t>
        </is>
      </c>
      <c r="G4" s="69" t="inlineStr">
        <is>
          <t>TPOT P50
(ms)</t>
        </is>
      </c>
      <c r="H4" s="69" t="inlineStr">
        <is>
          <t>TPOT P95
(ms)</t>
        </is>
      </c>
      <c r="I4" s="69" t="inlineStr">
        <is>
          <t>E2E P95
(秒)</t>
        </is>
      </c>
      <c r="J4" s="70" t="inlineStr">
        <is>
          <t>出力
tok/s</t>
        </is>
      </c>
    </row>
    <row r="5" ht="24" customHeight="1" s="52">
      <c r="A5" s="71" t="inlineStr">
        <is>
          <t>1-1</t>
        </is>
      </c>
      <c r="B5" s="72" t="inlineStr">
        <is>
          <t>B: RAG標準</t>
        </is>
      </c>
      <c r="C5" s="71" t="n">
        <v>3000</v>
      </c>
      <c r="D5" s="71" t="n">
        <v>500</v>
      </c>
      <c r="E5" s="73" t="n"/>
      <c r="F5" s="73" t="n"/>
      <c r="G5" s="73" t="n"/>
      <c r="H5" s="73" t="n"/>
      <c r="I5" s="73" t="n"/>
      <c r="J5" s="73" t="n"/>
    </row>
    <row r="6" ht="24" customHeight="1" s="52">
      <c r="A6" s="71" t="inlineStr">
        <is>
          <t>1-2a</t>
        </is>
      </c>
      <c r="B6" s="72" t="inlineStr">
        <is>
          <t>A: 短文QA</t>
        </is>
      </c>
      <c r="C6" s="71" t="n">
        <v>200</v>
      </c>
      <c r="D6" s="71" t="n">
        <v>200</v>
      </c>
      <c r="E6" s="73" t="n"/>
      <c r="F6" s="73" t="n"/>
      <c r="G6" s="73" t="n"/>
      <c r="H6" s="73" t="n"/>
      <c r="I6" s="73" t="n"/>
      <c r="J6" s="73" t="n"/>
    </row>
    <row r="7" ht="24" customHeight="1" s="52">
      <c r="A7" s="71" t="inlineStr">
        <is>
          <t>1-2b</t>
        </is>
      </c>
      <c r="B7" s="72" t="inlineStr">
        <is>
          <t>C: RAG大</t>
        </is>
      </c>
      <c r="C7" s="71" t="n">
        <v>12000</v>
      </c>
      <c r="D7" s="71" t="n">
        <v>800</v>
      </c>
      <c r="E7" s="73" t="n"/>
      <c r="F7" s="73" t="n"/>
      <c r="G7" s="73" t="n"/>
      <c r="H7" s="73" t="n"/>
      <c r="I7" s="73" t="n"/>
      <c r="J7" s="73" t="n"/>
    </row>
    <row r="8" ht="24" customHeight="1" s="52">
      <c r="A8" s="71" t="inlineStr">
        <is>
          <t>1-2c</t>
        </is>
      </c>
      <c r="B8" s="72" t="inlineStr">
        <is>
          <t>D: 長文生成</t>
        </is>
      </c>
      <c r="C8" s="71" t="n">
        <v>800</v>
      </c>
      <c r="D8" s="71" t="n">
        <v>3000</v>
      </c>
      <c r="E8" s="73" t="n"/>
      <c r="F8" s="73" t="n"/>
      <c r="G8" s="73" t="n"/>
      <c r="H8" s="73" t="n"/>
      <c r="I8" s="73" t="n"/>
      <c r="J8" s="73" t="n"/>
    </row>
    <row r="9" ht="24" customHeight="1" s="52">
      <c r="A9" s="71" t="inlineStr">
        <is>
          <t>1-3</t>
        </is>
      </c>
      <c r="B9" s="72" t="inlineStr">
        <is>
          <t>E: 限界テスト</t>
        </is>
      </c>
      <c r="C9" s="71" t="n">
        <v>14884</v>
      </c>
      <c r="D9" s="71" t="n">
        <v>1000</v>
      </c>
      <c r="E9" s="73" t="n"/>
      <c r="F9" s="73" t="n"/>
      <c r="G9" s="73" t="n"/>
      <c r="H9" s="73" t="n"/>
      <c r="I9" s="73" t="n"/>
      <c r="J9" s="73" t="n"/>
    </row>
    <row r="11" ht="15" customHeight="1" s="52">
      <c r="A11" s="74" t="inlineStr">
        <is>
          <t>測定コマンド例:</t>
        </is>
      </c>
      <c r="C11" s="75" t="inlineStr">
        <is>
          <t>BENCH profile-B.jsonl phase1_B_c1 --num-prompts 20 --max-concurrency 1 --ignore-eos (詳細は「9. パフォーマンステスト手順書」A-3〜A-4)</t>
        </is>
      </c>
    </row>
  </sheetData>
  <mergeCells count="4">
    <mergeCell ref="A1:J1"/>
    <mergeCell ref="A2:J2"/>
    <mergeCell ref="A11:B11"/>
    <mergeCell ref="C11:J1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1" min="1" max="1"/>
    <col width="12" customWidth="1" style="51" min="2" max="2"/>
    <col width="11" customWidth="1" style="51" min="3" max="3"/>
    <col width="9" customWidth="1" style="51" min="4" max="4"/>
    <col width="11" customWidth="1" style="51" min="5" max="6"/>
    <col width="10" customWidth="1" style="51" min="7" max="8"/>
    <col width="11" customWidth="1" style="51" min="9" max="10"/>
    <col width="12" customWidth="1" style="51" min="11" max="12"/>
  </cols>
  <sheetData>
    <row r="1" ht="30" customHeight="1" s="52">
      <c r="A1" s="53" t="inlineStr">
        <is>
          <t>フェーズ2: 飽和点の特定 ― プロファイルB (RAG標準) ★最重要</t>
        </is>
      </c>
    </row>
    <row r="2" ht="18" customHeight="1" s="52">
      <c r="A2" s="67" t="inlineStr">
        <is>
          <t>入力3,000 / 出力500トークン。同時実行数を段階的に上げ、E2Eの伸び方から性能が崩れる点を特定する</t>
        </is>
      </c>
    </row>
    <row r="4" ht="30" customHeight="1" s="52">
      <c r="A4" s="68" t="inlineStr">
        <is>
          <t>#</t>
        </is>
      </c>
      <c r="B4" s="56" t="inlineStr">
        <is>
          <t>同時実行数
(--users)</t>
        </is>
      </c>
      <c r="C4" s="70" t="inlineStr">
        <is>
          <t>リクエスト数</t>
        </is>
      </c>
      <c r="D4" s="70" t="inlineStr">
        <is>
          <t>失敗数</t>
        </is>
      </c>
      <c r="E4" s="69" t="inlineStr">
        <is>
          <t>E2E中央値
(秒)</t>
        </is>
      </c>
      <c r="F4" s="69" t="inlineStr">
        <is>
          <t>E2E平均
(秒)</t>
        </is>
      </c>
      <c r="G4" s="69" t="inlineStr">
        <is>
          <t>E2E P95
(秒)</t>
        </is>
      </c>
      <c r="H4" s="69" t="inlineStr">
        <is>
          <t>E2E最大
(秒)</t>
        </is>
      </c>
      <c r="I4" s="69" t="inlineStr">
        <is>
          <t>Requests/s</t>
        </is>
      </c>
      <c r="J4" s="69" t="inlineStr">
        <is>
          <t>GPU使用率
(%)</t>
        </is>
      </c>
      <c r="K4" s="76" t="inlineStr">
        <is>
          <t>ベースライン比
(自動)</t>
        </is>
      </c>
      <c r="L4" s="76" t="inlineStr">
        <is>
          <t>判定
(自動)</t>
        </is>
      </c>
    </row>
    <row r="5" ht="24" customHeight="1" s="52">
      <c r="A5" s="71" t="inlineStr">
        <is>
          <t>2-1</t>
        </is>
      </c>
      <c r="B5" s="71" t="n">
        <v>5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7">
        <f>IF(COUNT(E5,$E$5)&lt;2,"",ROUND(E5/$E$5,2))</f>
        <v/>
      </c>
      <c r="L5" s="78">
        <f>IF(OR(COUNT(K5)&lt;1,COUNT(C5,D5)&lt;2),"",IF(D5/MAX(C5,1)&gt;=0.01,"不可",IF(K5&gt;=5,"不可",IF(K5&gt;=3,"飽和",IF(K5&gt;=1.5,"許容","快適")))))</f>
        <v/>
      </c>
    </row>
    <row r="6" ht="24" customHeight="1" s="52">
      <c r="A6" s="71" t="inlineStr">
        <is>
          <t>2-2</t>
        </is>
      </c>
      <c r="B6" s="71" t="n">
        <v>10</v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7">
        <f>IF(COUNT(E6,$E$5)&lt;2,"",ROUND(E6/$E$5,2))</f>
        <v/>
      </c>
      <c r="L6" s="78">
        <f>IF(OR(COUNT(K6)&lt;1,COUNT(C6,D6)&lt;2),"",IF(D6/MAX(C6,1)&gt;=0.01,"不可",IF(K6&gt;=5,"不可",IF(K6&gt;=3,"飽和",IF(K6&gt;=1.5,"許容","快適")))))</f>
        <v/>
      </c>
    </row>
    <row r="7" ht="24" customHeight="1" s="52">
      <c r="A7" s="71" t="inlineStr">
        <is>
          <t>2-3</t>
        </is>
      </c>
      <c r="B7" s="71" t="n">
        <v>20</v>
      </c>
      <c r="C7" s="73" t="n"/>
      <c r="D7" s="73" t="n"/>
      <c r="E7" s="73" t="n"/>
      <c r="F7" s="73" t="n"/>
      <c r="G7" s="73" t="n"/>
      <c r="H7" s="73" t="n"/>
      <c r="I7" s="73" t="n"/>
      <c r="J7" s="73" t="n"/>
      <c r="K7" s="77">
        <f>IF(COUNT(E7,$E$5)&lt;2,"",ROUND(E7/$E$5,2))</f>
        <v/>
      </c>
      <c r="L7" s="78">
        <f>IF(OR(COUNT(K7)&lt;1,COUNT(C7,D7)&lt;2),"",IF(D7/MAX(C7,1)&gt;=0.01,"不可",IF(K7&gt;=5,"不可",IF(K7&gt;=3,"飽和",IF(K7&gt;=1.5,"許容","快適")))))</f>
        <v/>
      </c>
    </row>
    <row r="8" ht="24" customHeight="1" s="52">
      <c r="A8" s="71" t="inlineStr">
        <is>
          <t>2-4</t>
        </is>
      </c>
      <c r="B8" s="71" t="n">
        <v>40</v>
      </c>
      <c r="C8" s="73" t="n"/>
      <c r="D8" s="73" t="n"/>
      <c r="E8" s="73" t="n"/>
      <c r="F8" s="73" t="n"/>
      <c r="G8" s="73" t="n"/>
      <c r="H8" s="73" t="n"/>
      <c r="I8" s="73" t="n"/>
      <c r="J8" s="73" t="n"/>
      <c r="K8" s="77">
        <f>IF(COUNT(E8,$E$5)&lt;2,"",ROUND(E8/$E$5,2))</f>
        <v/>
      </c>
      <c r="L8" s="78">
        <f>IF(OR(COUNT(K8)&lt;1,COUNT(C8,D8)&lt;2),"",IF(D8/MAX(C8,1)&gt;=0.01,"不可",IF(K8&gt;=5,"不可",IF(K8&gt;=3,"飽和",IF(K8&gt;=1.5,"許容","快適")))))</f>
        <v/>
      </c>
    </row>
    <row r="10" ht="14.15" customHeight="1" s="52">
      <c r="A10" s="79" t="inlineStr">
        <is>
          <t>測定条件: 入力3000トークン / 出力500トークン / Locust --spawn-rate 2 --run-time 5m / 各測定後60秒のインターバル</t>
        </is>
      </c>
    </row>
    <row r="11" ht="14.15" customHeight="1" s="52">
      <c r="A11" s="79" t="inlineStr">
        <is>
          <t>判定基準: ベースライン(同時実行5)のE2E中央値に対する倍率。快適&lt;1.5倍 / 許容&lt;3倍 / 飽和&lt;5倍 / 不可≥5倍 or 失敗率1%以上</t>
        </is>
      </c>
    </row>
  </sheetData>
  <mergeCells count="4">
    <mergeCell ref="A1:J1"/>
    <mergeCell ref="A11:L11"/>
    <mergeCell ref="A10:L10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1" min="1" max="1"/>
    <col width="12" customWidth="1" style="51" min="2" max="2"/>
    <col width="11" customWidth="1" style="51" min="3" max="3"/>
    <col width="9" customWidth="1" style="51" min="4" max="4"/>
    <col width="11" customWidth="1" style="51" min="5" max="6"/>
    <col width="10" customWidth="1" style="51" min="7" max="8"/>
    <col width="11" customWidth="1" style="51" min="9" max="10"/>
    <col width="12" customWidth="1" style="51" min="11" max="12"/>
  </cols>
  <sheetData>
    <row r="1" ht="30" customHeight="1" s="52">
      <c r="A1" s="53" t="inlineStr">
        <is>
          <t>フェーズ2: 飽和点の特定 ― プロファイルC (RAG大)</t>
        </is>
      </c>
    </row>
    <row r="2" ht="18" customHeight="1" s="52">
      <c r="A2" s="67" t="inlineStr">
        <is>
          <t>入力10,900 / 出力800トークン。MAX_MODEL_LEN=12288に収まるよう調整済み</t>
        </is>
      </c>
    </row>
    <row r="4" ht="30" customHeight="1" s="52">
      <c r="A4" s="68" t="inlineStr">
        <is>
          <t>#</t>
        </is>
      </c>
      <c r="B4" s="56" t="inlineStr">
        <is>
          <t>同時実行数
(--users)</t>
        </is>
      </c>
      <c r="C4" s="70" t="inlineStr">
        <is>
          <t>リクエスト数</t>
        </is>
      </c>
      <c r="D4" s="70" t="inlineStr">
        <is>
          <t>失敗数</t>
        </is>
      </c>
      <c r="E4" s="69" t="inlineStr">
        <is>
          <t>E2E中央値
(秒)</t>
        </is>
      </c>
      <c r="F4" s="69" t="inlineStr">
        <is>
          <t>E2E平均
(秒)</t>
        </is>
      </c>
      <c r="G4" s="69" t="inlineStr">
        <is>
          <t>E2E P95
(秒)</t>
        </is>
      </c>
      <c r="H4" s="69" t="inlineStr">
        <is>
          <t>E2E最大
(秒)</t>
        </is>
      </c>
      <c r="I4" s="69" t="inlineStr">
        <is>
          <t>Requests/s</t>
        </is>
      </c>
      <c r="J4" s="69" t="inlineStr">
        <is>
          <t>GPU使用率
(%)</t>
        </is>
      </c>
      <c r="K4" s="76" t="inlineStr">
        <is>
          <t>ベースライン比
(自動)</t>
        </is>
      </c>
      <c r="L4" s="76" t="inlineStr">
        <is>
          <t>判定
(自動)</t>
        </is>
      </c>
    </row>
    <row r="5" ht="24" customHeight="1" s="52">
      <c r="A5" s="71" t="inlineStr">
        <is>
          <t>2-1</t>
        </is>
      </c>
      <c r="B5" s="71" t="n">
        <v>5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7">
        <f>IF(COUNT(E5,$E$5)&lt;2,"",ROUND(E5/$E$5,2))</f>
        <v/>
      </c>
      <c r="L5" s="78">
        <f>IF(OR(COUNT(K5)&lt;1,COUNT(C5,D5)&lt;2),"",IF(D5/MAX(C5,1)&gt;=0.01,"不可",IF(K5&gt;=5,"不可",IF(K5&gt;=3,"飽和",IF(K5&gt;=1.5,"許容","快適")))))</f>
        <v/>
      </c>
    </row>
    <row r="6" ht="24" customHeight="1" s="52">
      <c r="A6" s="71" t="inlineStr">
        <is>
          <t>2-2</t>
        </is>
      </c>
      <c r="B6" s="71" t="n">
        <v>10</v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7">
        <f>IF(COUNT(E6,$E$5)&lt;2,"",ROUND(E6/$E$5,2))</f>
        <v/>
      </c>
      <c r="L6" s="78">
        <f>IF(OR(COUNT(K6)&lt;1,COUNT(C6,D6)&lt;2),"",IF(D6/MAX(C6,1)&gt;=0.01,"不可",IF(K6&gt;=5,"不可",IF(K6&gt;=3,"飽和",IF(K6&gt;=1.5,"許容","快適")))))</f>
        <v/>
      </c>
    </row>
    <row r="7" ht="24" customHeight="1" s="52">
      <c r="A7" s="71" t="inlineStr">
        <is>
          <t>2-3</t>
        </is>
      </c>
      <c r="B7" s="71" t="n">
        <v>13</v>
      </c>
      <c r="C7" s="73" t="n"/>
      <c r="D7" s="73" t="n"/>
      <c r="E7" s="73" t="n"/>
      <c r="F7" s="73" t="n"/>
      <c r="G7" s="73" t="n"/>
      <c r="H7" s="73" t="n"/>
      <c r="I7" s="73" t="n"/>
      <c r="J7" s="73" t="n"/>
      <c r="K7" s="77">
        <f>IF(COUNT(E7,$E$5)&lt;2,"",ROUND(E7/$E$5,2))</f>
        <v/>
      </c>
      <c r="L7" s="78">
        <f>IF(OR(COUNT(K7)&lt;1,COUNT(C7,D7)&lt;2),"",IF(D7/MAX(C7,1)&gt;=0.01,"不可",IF(K7&gt;=5,"不可",IF(K7&gt;=3,"飽和",IF(K7&gt;=1.5,"許容","快適")))))</f>
        <v/>
      </c>
    </row>
    <row r="9" ht="14.15" customHeight="1" s="52">
      <c r="A9" s="79" t="inlineStr">
        <is>
          <t>測定条件: 入力10900トークン / 出力800トークン / Locust --spawn-rate 2 --run-time 5m / 各測定後60秒のインターバル</t>
        </is>
      </c>
    </row>
    <row r="10" ht="14.15" customHeight="1" s="52">
      <c r="A10" s="79" t="inlineStr">
        <is>
          <t>判定基準: ベースライン(同時実行5)のE2E中央値に対する倍率。快適&lt;1.5倍 / 許容&lt;3倍 / 飽和&lt;5倍 / 不可≥5倍 or 失敗率1%以上</t>
        </is>
      </c>
    </row>
  </sheetData>
  <mergeCells count="4">
    <mergeCell ref="A1:J1"/>
    <mergeCell ref="A10:L10"/>
    <mergeCell ref="A9:L9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1" min="1" max="1"/>
    <col width="10" customWidth="1" style="51" min="2" max="2"/>
    <col width="11" customWidth="1" style="51" min="3" max="3"/>
    <col width="9" customWidth="1" style="51" min="4" max="4"/>
    <col width="12" customWidth="1" style="51" min="5" max="5"/>
    <col width="13" customWidth="1" style="51" min="6" max="6"/>
    <col width="12" customWidth="1" style="51" min="7" max="9"/>
    <col width="9" customWidth="1" style="51" min="10" max="10"/>
    <col width="11" customWidth="1" style="51" min="11" max="11"/>
    <col width="9" customWidth="1" style="51" min="12" max="12"/>
  </cols>
  <sheetData>
    <row r="1" ht="30" customHeight="1" s="52">
      <c r="A1" s="53" t="inlineStr">
        <is>
          <t>フェーズ2-3: MAXトークン付近の連続投入試験 ― プロファイルE</t>
        </is>
      </c>
    </row>
    <row r="2" ht="18" customHeight="1" s="52">
      <c r="A2" s="67" t="inlineStr">
        <is>
          <t>ローカルLLM設定元からの試験要求（15,000文字程度を連続投入・目安200,000トークン/分）に対応。経路: Locust(Dify) + LiteLLM記録</t>
        </is>
      </c>
    </row>
    <row r="4" ht="30" customHeight="1" s="52">
      <c r="A4" s="68" t="inlineStr">
        <is>
          <t>#</t>
        </is>
      </c>
      <c r="B4" s="56" t="inlineStr">
        <is>
          <t>同時実行数</t>
        </is>
      </c>
      <c r="C4" s="70" t="inlineStr">
        <is>
          <t>連続投入
回数(実測)</t>
        </is>
      </c>
      <c r="D4" s="70" t="inlineStr">
        <is>
          <t>エラー
発生回数</t>
        </is>
      </c>
      <c r="E4" s="69" t="inlineStr">
        <is>
          <t>TTFT P95
(秒・LiteLLM)</t>
        </is>
      </c>
      <c r="F4" s="69" t="inlineStr">
        <is>
          <t>LLM区間
Duration P95
(秒・LiteLLM)</t>
        </is>
      </c>
      <c r="G4" s="69" t="inlineStr">
        <is>
          <t>E2E P95
(秒・Locust)</t>
        </is>
      </c>
      <c r="H4" s="80" t="inlineStr">
        <is>
          <t>Dify処理時間
(秒・自動)</t>
        </is>
      </c>
      <c r="I4" s="70" t="inlineStr">
        <is>
          <t>総トークン数
(LiteLLM実測)</t>
        </is>
      </c>
      <c r="J4" s="70" t="inlineStr">
        <is>
          <t>経過時間
(分)</t>
        </is>
      </c>
      <c r="K4" s="76" t="inlineStr">
        <is>
          <t>トークン/分
(自動)</t>
        </is>
      </c>
      <c r="L4" s="76" t="inlineStr">
        <is>
          <t>判定
(自動)</t>
        </is>
      </c>
    </row>
    <row r="5" ht="24" customHeight="1" s="52">
      <c r="A5" s="71" t="inlineStr">
        <is>
          <t>2-3-1</t>
        </is>
      </c>
      <c r="B5" s="71" t="n">
        <v>1</v>
      </c>
      <c r="C5" s="73" t="n"/>
      <c r="D5" s="73" t="n"/>
      <c r="E5" s="73" t="n"/>
      <c r="F5" s="73" t="n"/>
      <c r="G5" s="73" t="n"/>
      <c r="H5" s="81">
        <f>IF(COUNT(F5,G5)&lt;2,"",G5-F5)</f>
        <v/>
      </c>
      <c r="I5" s="73" t="n"/>
      <c r="J5" s="73" t="n"/>
      <c r="K5" s="78">
        <f>IF(COUNT(I5,J5)&lt;2,"",ROUND(I5/J5,0))</f>
        <v/>
      </c>
      <c r="L5" s="78">
        <f>IF(COUNT(K5)&lt;1,"",IF(D5&gt;0,"エラーあり",IF(K5&gt;=200000,"目安達成",IF(K5&gt;=140000,"目安の70%以上","目安未達"))))</f>
        <v/>
      </c>
    </row>
    <row r="6" ht="24" customHeight="1" s="52">
      <c r="A6" s="71" t="inlineStr">
        <is>
          <t>2-3-2</t>
        </is>
      </c>
      <c r="B6" s="71" t="n">
        <v>3</v>
      </c>
      <c r="C6" s="73" t="n"/>
      <c r="D6" s="73" t="n"/>
      <c r="E6" s="73" t="n"/>
      <c r="F6" s="73" t="n"/>
      <c r="G6" s="73" t="n"/>
      <c r="H6" s="81">
        <f>IF(COUNT(F6,G6)&lt;2,"",G6-F6)</f>
        <v/>
      </c>
      <c r="I6" s="73" t="n"/>
      <c r="J6" s="73" t="n"/>
      <c r="K6" s="78">
        <f>IF(COUNT(I6,J6)&lt;2,"",ROUND(I6/J6,0))</f>
        <v/>
      </c>
      <c r="L6" s="78">
        <f>IF(COUNT(K6)&lt;1,"",IF(D6&gt;0,"エラーあり",IF(K6&gt;=200000,"目安達成",IF(K6&gt;=140000,"目安の70%以上","目安未達"))))</f>
        <v/>
      </c>
    </row>
    <row r="7" ht="24" customHeight="1" s="52">
      <c r="A7" s="71" t="inlineStr">
        <is>
          <t>2-3-3</t>
        </is>
      </c>
      <c r="B7" s="71" t="n">
        <v>5</v>
      </c>
      <c r="C7" s="73" t="n"/>
      <c r="D7" s="73" t="n"/>
      <c r="E7" s="73" t="n"/>
      <c r="F7" s="73" t="n"/>
      <c r="G7" s="73" t="n"/>
      <c r="H7" s="81">
        <f>IF(COUNT(F7,G7)&lt;2,"",G7-F7)</f>
        <v/>
      </c>
      <c r="I7" s="73" t="n"/>
      <c r="J7" s="73" t="n"/>
      <c r="K7" s="78">
        <f>IF(COUNT(I7,J7)&lt;2,"",ROUND(I7/J7,0))</f>
        <v/>
      </c>
      <c r="L7" s="78">
        <f>IF(COUNT(K7)&lt;1,"",IF(D7&gt;0,"エラーあり",IF(K7&gt;=200000,"目安達成",IF(K7&gt;=140000,"目安の70%以上","目安未達"))))</f>
        <v/>
      </c>
    </row>
    <row r="8" ht="24" customHeight="1" s="52">
      <c r="A8" s="71" t="inlineStr">
        <is>
          <t>2-3-4</t>
        </is>
      </c>
      <c r="B8" s="71" t="n">
        <v>10</v>
      </c>
      <c r="C8" s="73" t="n"/>
      <c r="D8" s="73" t="n"/>
      <c r="E8" s="73" t="n"/>
      <c r="F8" s="73" t="n"/>
      <c r="G8" s="73" t="n"/>
      <c r="H8" s="81">
        <f>IF(COUNT(F8,G8)&lt;2,"",G8-F8)</f>
        <v/>
      </c>
      <c r="I8" s="73" t="n"/>
      <c r="J8" s="73" t="n"/>
      <c r="K8" s="78">
        <f>IF(COUNT(I8,J8)&lt;2,"",ROUND(I8/J8,0))</f>
        <v/>
      </c>
      <c r="L8" s="78">
        <f>IF(COUNT(K8)&lt;1,"",IF(D8&gt;0,"エラーあり",IF(K8&gt;=200000,"目安達成",IF(K8&gt;=140000,"目安の70%以上","目安未達"))))</f>
        <v/>
      </c>
    </row>
    <row r="10" ht="14.15" customHeight="1" s="52">
      <c r="A10" s="79" t="inlineStr">
        <is>
          <t>測定条件: 入力=15,000文字相当(実測トークン数は4.2節参照) / 出力200トークン固定 / run-time 10分 / 各測定後60秒のインターバル</t>
        </is>
      </c>
    </row>
    <row r="11" ht="14.15" customHeight="1" s="52">
      <c r="A11" s="79" t="inlineStr">
        <is>
          <t>目安: 1分間で200,000トークン（ローカルLLM設定元からの試験条件）。総トークン数・経過時間はLiteLLM側の記録(UI「Logs」画面)の実測値を入力し、トークン/分を自動算出する</t>
        </is>
      </c>
    </row>
  </sheetData>
  <mergeCells count="4">
    <mergeCell ref="A11:L11"/>
    <mergeCell ref="A1:L1"/>
    <mergeCell ref="A2:L2"/>
    <mergeCell ref="A10:L1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1" min="1" max="1"/>
    <col width="22" customWidth="1" style="51" min="2" max="2"/>
    <col width="14" customWidth="1" style="51" min="3" max="4"/>
    <col width="13" customWidth="1" style="51" min="5" max="5"/>
    <col width="14" customWidth="1" style="51" min="6" max="6"/>
    <col width="13" customWidth="1" style="51" min="7" max="7"/>
    <col width="9" customWidth="1" style="51" min="8" max="8"/>
    <col width="20" customWidth="1" style="51" min="9" max="9"/>
  </cols>
  <sheetData>
    <row r="1" ht="30" customHeight="1" s="52">
      <c r="A1" s="53" t="inlineStr">
        <is>
          <t>フェーズ3: E2E測定（Dify経由）</t>
        </is>
      </c>
    </row>
    <row r="2" ht="18" customHeight="1" s="52">
      <c r="A2" s="54" t="inlineStr">
        <is>
          <t>Locust実測（E2E）と LiteLLM記録（TTFT/LLM区間Duration/トークン数）を突き合わせ、Dify自身の処理時間を算出する</t>
        </is>
      </c>
    </row>
    <row r="4" ht="30" customHeight="1" s="52">
      <c r="A4" s="68" t="inlineStr">
        <is>
          <t>#</t>
        </is>
      </c>
      <c r="B4" s="56" t="inlineStr">
        <is>
          <t>テスト条件</t>
        </is>
      </c>
      <c r="C4" s="69" t="inlineStr">
        <is>
          <t>TTFT P95
(秒・LiteLLM)</t>
        </is>
      </c>
      <c r="D4" s="69" t="inlineStr">
        <is>
          <t>LLM区間
Duration P95
(秒・LiteLLM)</t>
        </is>
      </c>
      <c r="E4" s="69" t="inlineStr">
        <is>
          <t>E2E P95
(秒・Locust)</t>
        </is>
      </c>
      <c r="F4" s="80" t="inlineStr">
        <is>
          <t>Dify処理時間
(秒・自動)</t>
        </is>
      </c>
      <c r="G4" s="70" t="inlineStr">
        <is>
          <t>出力トークン数
(LiteLLM)</t>
        </is>
      </c>
      <c r="H4" s="76" t="inlineStr">
        <is>
          <t>判定
(自動)</t>
        </is>
      </c>
      <c r="I4" s="56" t="inlineStr">
        <is>
          <t>備考</t>
        </is>
      </c>
    </row>
    <row r="5" ht="25.5" customHeight="1" s="52">
      <c r="A5" s="71" t="inlineStr">
        <is>
          <t>3-1</t>
        </is>
      </c>
      <c r="B5" s="82" t="inlineStr">
        <is>
          <t>E2Eベースライン (同時5)</t>
        </is>
      </c>
      <c r="C5" s="73" t="n"/>
      <c r="D5" s="73" t="n"/>
      <c r="E5" s="73" t="n"/>
      <c r="F5" s="81">
        <f>IF(COUNT(D5,E5)&lt;2,"",E5-D5)</f>
        <v/>
      </c>
      <c r="G5" s="73" t="n"/>
      <c r="H5" s="78">
        <f>IF(COUNT(C5,E5)&lt;2,"",IF(OR(C5&gt;5,E5&gt;10),"不可",IF(OR(C5&gt;3,E5&gt;6),"飽和",IF(OR(C5&gt;1,E5&gt;2),"許容","快適"))))</f>
        <v/>
      </c>
      <c r="I5" s="82" t="n"/>
    </row>
    <row r="6" ht="25.5" customHeight="1" s="52">
      <c r="A6" s="71" t="inlineStr">
        <is>
          <t>3-2a</t>
        </is>
      </c>
      <c r="B6" s="83" t="inlineStr">
        <is>
          <t>段階的負荷 (同時10)</t>
        </is>
      </c>
      <c r="C6" s="73" t="n"/>
      <c r="D6" s="73" t="n"/>
      <c r="E6" s="73" t="n"/>
      <c r="F6" s="81">
        <f>IF(COUNT(D6,E6)&lt;2,"",E6-D6)</f>
        <v/>
      </c>
      <c r="G6" s="73" t="n"/>
      <c r="H6" s="78">
        <f>IF(COUNT(C6,E6)&lt;2,"",IF(OR(C6&gt;5,E6&gt;10),"不可",IF(OR(C6&gt;3,E6&gt;6),"飽和",IF(OR(C6&gt;1,E6&gt;2),"許容","快適"))))</f>
        <v/>
      </c>
      <c r="I6" s="83" t="n"/>
    </row>
    <row r="7" ht="25.5" customHeight="1" s="52">
      <c r="A7" s="71" t="inlineStr">
        <is>
          <t>3-2b</t>
        </is>
      </c>
      <c r="B7" s="83" t="inlineStr">
        <is>
          <t>段階的負荷 (同時20)</t>
        </is>
      </c>
      <c r="C7" s="73" t="n"/>
      <c r="D7" s="73" t="n"/>
      <c r="E7" s="73" t="n"/>
      <c r="F7" s="81">
        <f>IF(COUNT(D7,E7)&lt;2,"",E7-D7)</f>
        <v/>
      </c>
      <c r="G7" s="73" t="n"/>
      <c r="H7" s="78">
        <f>IF(COUNT(C7,E7)&lt;2,"",IF(OR(C7&gt;5,E7&gt;10),"不可",IF(OR(C7&gt;3,E7&gt;6),"飽和",IF(OR(C7&gt;1,E7&gt;2),"許容","快適"))))</f>
        <v/>
      </c>
      <c r="I7" s="83" t="n"/>
    </row>
    <row r="8" ht="25.5" customHeight="1" s="52">
      <c r="A8" s="71" t="inlineStr">
        <is>
          <t>3-2c</t>
        </is>
      </c>
      <c r="B8" s="83" t="inlineStr">
        <is>
          <t>段階的負荷 (同時40)</t>
        </is>
      </c>
      <c r="C8" s="73" t="n"/>
      <c r="D8" s="73" t="n"/>
      <c r="E8" s="73" t="n"/>
      <c r="F8" s="81">
        <f>IF(COUNT(D8,E8)&lt;2,"",E8-D8)</f>
        <v/>
      </c>
      <c r="G8" s="73" t="n"/>
      <c r="H8" s="78">
        <f>IF(COUNT(C8,E8)&lt;2,"",IF(OR(C8&gt;5,E8&gt;10),"不可",IF(OR(C8&gt;3,E8&gt;6),"飽和",IF(OR(C8&gt;1,E8&gt;2),"許容","快適"))))</f>
        <v/>
      </c>
      <c r="I8" s="83" t="n"/>
    </row>
    <row r="9" ht="25.5" customHeight="1" s="52">
      <c r="A9" s="71" t="inlineStr">
        <is>
          <t>3-3a</t>
        </is>
      </c>
      <c r="B9" s="82" t="inlineStr">
        <is>
          <t>RAGなしアプリ (同時5)</t>
        </is>
      </c>
      <c r="C9" s="73" t="n"/>
      <c r="D9" s="73" t="n"/>
      <c r="E9" s="73" t="n"/>
      <c r="F9" s="81">
        <f>IF(COUNT(D9,E9)&lt;2,"",E9-D9)</f>
        <v/>
      </c>
      <c r="G9" s="73" t="n"/>
      <c r="H9" s="78">
        <f>IF(COUNT(C9,E9)&lt;2,"",IF(OR(C9&gt;5,E9&gt;10),"不可",IF(OR(C9&gt;3,E9&gt;6),"飽和",IF(OR(C9&gt;1,E9&gt;2),"許容","快適"))))</f>
        <v/>
      </c>
      <c r="I9" s="82" t="inlineStr">
        <is>
          <t>pgvector検索コスト比較用</t>
        </is>
      </c>
    </row>
    <row r="10" ht="25.5" customHeight="1" s="52">
      <c r="A10" s="71" t="inlineStr">
        <is>
          <t>3-3b</t>
        </is>
      </c>
      <c r="B10" s="82" t="inlineStr">
        <is>
          <t>RAGありアプリ (同時5)</t>
        </is>
      </c>
      <c r="C10" s="73" t="n"/>
      <c r="D10" s="73" t="n"/>
      <c r="E10" s="73" t="n"/>
      <c r="F10" s="81">
        <f>IF(COUNT(D10,E10)&lt;2,"",E10-D10)</f>
        <v/>
      </c>
      <c r="G10" s="73" t="n"/>
      <c r="H10" s="78">
        <f>IF(COUNT(C10,E10)&lt;2,"",IF(OR(C10&gt;5,E10&gt;10),"不可",IF(OR(C10&gt;3,E10&gt;6),"飽和",IF(OR(C10&gt;1,E10&gt;2),"許容","快適"))))</f>
        <v/>
      </c>
      <c r="I10" s="82" t="inlineStr">
        <is>
          <t>3-3aとの差分 = pgvector検索コスト</t>
        </is>
      </c>
    </row>
    <row r="12" ht="14.15" customHeight="1" s="52">
      <c r="A12" s="79" t="inlineStr">
        <is>
          <t>役割分担: E2E(Locust実測) / TTFT・LLM区間Duration・トークン数(LiteLLM側の記録、UI「Logs」画面)。Locust側ではTTFT/TPOTを自前計算しない</t>
        </is>
      </c>
    </row>
    <row r="13" ht="14.15" customHeight="1" s="52">
      <c r="A13" s="79" t="inlineStr">
        <is>
          <t>測定条件: プロファイルB (入力3,000 / 出力500トークン)。Locust実行時に出力される開始〜終了時刻の範囲で、LiteLLM側の記録(UI「Logs」画面)を確認して取得</t>
        </is>
      </c>
    </row>
  </sheetData>
  <mergeCells count="4">
    <mergeCell ref="A1:I1"/>
    <mergeCell ref="A12:I12"/>
    <mergeCell ref="A13:I13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1" min="1" max="1"/>
    <col width="16" customWidth="1" style="51" min="2" max="2"/>
    <col width="10" customWidth="1" style="51" min="3" max="3"/>
    <col width="24" customWidth="1" style="51" min="4" max="4"/>
    <col width="30" customWidth="1" style="51" min="5" max="5"/>
  </cols>
  <sheetData>
    <row r="1" ht="30" customHeight="1" s="52">
      <c r="A1" s="53" t="inlineStr">
        <is>
          <t>収容ユーザー数の試算</t>
        </is>
      </c>
    </row>
    <row r="2" ht="18" customHeight="1" s="52">
      <c r="A2" s="67" t="inlineStr">
        <is>
          <t>飽和点の実測値から収容人数を算出する。Step2以降のサイジング根拠となる</t>
        </is>
      </c>
    </row>
    <row r="4" ht="21.75" customHeight="1" s="52">
      <c r="A4" s="55" t="inlineStr">
        <is>
          <t>入力パラメータ（薄クリーム欄に測定値・想定値を入力）</t>
        </is>
      </c>
    </row>
    <row r="5" ht="30" customHeight="1" s="52">
      <c r="A5" s="56" t="inlineStr">
        <is>
          <t>項目</t>
        </is>
      </c>
      <c r="B5" s="56" t="inlineStr">
        <is>
          <t>値</t>
        </is>
      </c>
      <c r="C5" s="56" t="inlineStr">
        <is>
          <t>単位</t>
        </is>
      </c>
      <c r="D5" s="56" t="inlineStr">
        <is>
          <t>取得元</t>
        </is>
      </c>
      <c r="E5" s="56" t="inlineStr">
        <is>
          <t>備考</t>
        </is>
      </c>
    </row>
    <row r="6" ht="24" customHeight="1" s="52">
      <c r="A6" s="63" t="inlineStr">
        <is>
          <t>実効同時実行数</t>
        </is>
      </c>
      <c r="B6" s="84" t="n">
        <v>20</v>
      </c>
      <c r="C6" s="85" t="inlineStr">
        <is>
          <t>並列</t>
        </is>
      </c>
      <c r="D6" s="82" t="inlineStr">
        <is>
          <t>F2_飽和点_B の「許容」判定の最大値</t>
        </is>
      </c>
      <c r="E6" s="83" t="inlineStr">
        <is>
          <t>飽和する手前の値を採用</t>
        </is>
      </c>
    </row>
    <row r="7" ht="24" customHeight="1" s="52">
      <c r="A7" s="86" t="inlineStr">
        <is>
          <t>1リクエストの所要時間</t>
        </is>
      </c>
      <c r="B7" s="84" t="n">
        <v>15</v>
      </c>
      <c r="C7" s="85" t="inlineStr">
        <is>
          <t>秒</t>
        </is>
      </c>
      <c r="D7" s="82" t="inlineStr">
        <is>
          <t>F2_飽和点_B の E2E P95</t>
        </is>
      </c>
      <c r="E7" s="83" t="inlineStr">
        <is>
          <t>実測値を入力</t>
        </is>
      </c>
    </row>
    <row r="8" ht="24" customHeight="1" s="52">
      <c r="A8" s="63" t="inlineStr">
        <is>
          <t>ユーザーの思考時間</t>
        </is>
      </c>
      <c r="B8" s="84" t="n">
        <v>60</v>
      </c>
      <c r="C8" s="85" t="inlineStr">
        <is>
          <t>秒</t>
        </is>
      </c>
      <c r="D8" s="83" t="inlineStr">
        <is>
          <t>業務想定</t>
        </is>
      </c>
      <c r="E8" s="83" t="inlineStr">
        <is>
          <t>次の質問までの平均間隔</t>
        </is>
      </c>
    </row>
    <row r="10" ht="21.75" customHeight="1" s="52">
      <c r="A10" s="55" t="inlineStr">
        <is>
          <t>算出結果（自動計算）</t>
        </is>
      </c>
    </row>
    <row r="11" ht="30" customHeight="1" s="52">
      <c r="A11" s="87" t="inlineStr">
        <is>
          <t>収容ユーザー数</t>
        </is>
      </c>
      <c r="B11" s="88">
        <f>IF(B7=0,"",ROUND(B6*(B8+B7)/B7,0))</f>
        <v/>
      </c>
      <c r="C11" s="89" t="inlineStr">
        <is>
          <t>人</t>
        </is>
      </c>
      <c r="D11" s="90" t="inlineStr">
        <is>
          <t>計算式: 実効同時実行数 × (思考時間 + 所要時間) ÷ 所要時間</t>
        </is>
      </c>
      <c r="E11" s="91" t="n"/>
    </row>
    <row r="13" ht="30" customHeight="1" s="52">
      <c r="A13" s="92" t="inlineStr">
        <is>
          <t>重要: 「同時実行20 = 同時利用者20人」ではない。思考時間を含めると数倍のユーザーを収容できる。この換算式がStep2以降のサイジング根拠となる。</t>
        </is>
      </c>
    </row>
    <row r="15" ht="21.75" customHeight="1" s="52">
      <c r="A15" s="55" t="inlineStr">
        <is>
          <t>感度分析（同時実行数を変えた場合の収容人数）</t>
        </is>
      </c>
    </row>
    <row r="16" ht="30" customHeight="1" s="52">
      <c r="A16" s="56" t="inlineStr">
        <is>
          <t>実効同時実行数</t>
        </is>
      </c>
      <c r="B16" s="56" t="inlineStr">
        <is>
          <t>収容ユーザー数</t>
        </is>
      </c>
      <c r="C16" s="56" t="n"/>
      <c r="D16" s="56" t="n"/>
      <c r="E16" s="56" t="n"/>
    </row>
    <row r="17" ht="21.75" customHeight="1" s="52">
      <c r="A17" s="71" t="n">
        <v>5</v>
      </c>
      <c r="B17" s="78">
        <f>IF($B$7=0,"",ROUND(A17*($B$8+$B$7)/$B$7,0))</f>
        <v/>
      </c>
    </row>
    <row r="18" ht="21.75" customHeight="1" s="52">
      <c r="A18" s="71" t="n">
        <v>10</v>
      </c>
      <c r="B18" s="78">
        <f>IF($B$7=0,"",ROUND(A18*($B$8+$B$7)/$B$7,0))</f>
        <v/>
      </c>
    </row>
    <row r="19" ht="21.75" customHeight="1" s="52">
      <c r="A19" s="71" t="n">
        <v>20</v>
      </c>
      <c r="B19" s="78">
        <f>IF($B$7=0,"",ROUND(A19*($B$8+$B$7)/$B$7,0))</f>
        <v/>
      </c>
    </row>
    <row r="20" ht="21.75" customHeight="1" s="52">
      <c r="A20" s="71" t="n">
        <v>30</v>
      </c>
      <c r="B20" s="78">
        <f>IF($B$7=0,"",ROUND(A20*($B$8+$B$7)/$B$7,0))</f>
        <v/>
      </c>
    </row>
    <row r="21" ht="21.75" customHeight="1" s="52">
      <c r="A21" s="71" t="n">
        <v>40</v>
      </c>
      <c r="B21" s="78">
        <f>IF($B$7=0,"",ROUND(A21*($B$8+$B$7)/$B$7,0))</f>
        <v/>
      </c>
    </row>
  </sheetData>
  <mergeCells count="7">
    <mergeCell ref="A4:E4"/>
    <mergeCell ref="A2:E2"/>
    <mergeCell ref="A15:E15"/>
    <mergeCell ref="D11:E11"/>
    <mergeCell ref="A10:E10"/>
    <mergeCell ref="A1:E1"/>
    <mergeCell ref="A13:E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1" min="1" max="1"/>
    <col width="18" customWidth="1" style="51" min="2" max="2"/>
    <col width="14" customWidth="1" style="51" min="3" max="3"/>
    <col width="16" customWidth="1" style="51" min="4" max="4"/>
    <col width="40" customWidth="1" style="51" min="5" max="5"/>
    <col width="10" customWidth="1" style="51" min="6" max="6"/>
    <col width="11" customWidth="1" style="51" min="7" max="7"/>
    <col width="13" customWidth="1" style="51" min="8" max="8"/>
    <col width="24" customWidth="1" style="51" min="9" max="9"/>
  </cols>
  <sheetData>
    <row r="1" ht="30" customHeight="1" s="52">
      <c r="A1" s="93" t="inlineStr">
        <is>
          <t>Dify コンテナスケール算出</t>
        </is>
      </c>
    </row>
    <row r="2" ht="18" customHeight="1" s="52">
      <c r="A2" s="54" t="inlineStr">
        <is>
          <t>docker statsの実測(7.3節CSV)から、目標使用率に収めるための必要vCPU/メモリ・レプリカ数を自動算出する</t>
        </is>
      </c>
    </row>
    <row r="4" ht="21.75" customHeight="1" s="52">
      <c r="A4" s="55" t="inlineStr">
        <is>
          <t>① 垂直スケール算出（コンテナ単位の必要vCPU・メモリ）</t>
        </is>
      </c>
    </row>
    <row r="5" ht="30" customHeight="1" s="52">
      <c r="A5" s="56" t="inlineStr">
        <is>
          <t>コンテナ名</t>
        </is>
      </c>
      <c r="B5" s="70" t="inlineStr">
        <is>
          <t>現在の割当
vCPU</t>
        </is>
      </c>
      <c r="C5" s="70" t="inlineStr">
        <is>
          <t>現在の割当
メモリ(GB)</t>
        </is>
      </c>
      <c r="D5" s="70" t="inlineStr">
        <is>
          <t>実測ピーク
CPU%</t>
        </is>
      </c>
      <c r="E5" s="70" t="inlineStr">
        <is>
          <t>実測ピーク
MEM%</t>
        </is>
      </c>
      <c r="F5" s="70" t="inlineStr">
        <is>
          <t>目標
使用率(%)</t>
        </is>
      </c>
      <c r="G5" s="76" t="inlineStr">
        <is>
          <t>必要vCPU
(自動)</t>
        </is>
      </c>
      <c r="H5" s="76" t="inlineStr">
        <is>
          <t>必要メモリ(GB)
(自動)</t>
        </is>
      </c>
      <c r="I5" s="56" t="inlineStr">
        <is>
          <t>備考</t>
        </is>
      </c>
    </row>
    <row r="6" ht="24" customHeight="1" s="52">
      <c r="A6" s="72" t="inlineStr">
        <is>
          <t>dify-api</t>
        </is>
      </c>
      <c r="B6" s="73" t="n">
        <v>2</v>
      </c>
      <c r="C6" s="73" t="n">
        <v>4</v>
      </c>
      <c r="D6" s="73" t="n"/>
      <c r="E6" s="73" t="n"/>
      <c r="F6" s="73" t="n">
        <v>70</v>
      </c>
      <c r="G6" s="94">
        <f>IF(COUNT(B6,D6,F6)&lt;3,"",ROUND(B6*(D6/F6),1))</f>
        <v/>
      </c>
      <c r="H6" s="94">
        <f>IF(COUNT(C6,E6,F6)&lt;3,"",ROUND(C6*(E6/F6),1))</f>
        <v/>
      </c>
      <c r="I6" s="82" t="inlineStr">
        <is>
          <t>HTTP受付。通常は先に詰まらない</t>
        </is>
      </c>
    </row>
    <row r="7" ht="24" customHeight="1" s="52">
      <c r="A7" s="72" t="inlineStr">
        <is>
          <t>dify-worker</t>
        </is>
      </c>
      <c r="B7" s="73" t="n">
        <v>2</v>
      </c>
      <c r="C7" s="73" t="n">
        <v>4</v>
      </c>
      <c r="D7" s="73" t="n"/>
      <c r="E7" s="73" t="n"/>
      <c r="F7" s="73" t="n">
        <v>70</v>
      </c>
      <c r="G7" s="94">
        <f>IF(COUNT(B7,D7,F7)&lt;3,"",ROUND(B7*(D7/F7),1))</f>
        <v/>
      </c>
      <c r="H7" s="94">
        <f>IF(COUNT(C7,E7,F7)&lt;3,"",ROUND(C7*(E7/F7),1))</f>
        <v/>
      </c>
      <c r="I7" s="82" t="inlineStr">
        <is>
          <t>Celery。RAG検索・ワークフロー実行の実処理</t>
        </is>
      </c>
    </row>
    <row r="8" ht="24" customHeight="1" s="52">
      <c r="A8" s="72" t="inlineStr">
        <is>
          <t>dify-web</t>
        </is>
      </c>
      <c r="B8" s="73" t="n">
        <v>1</v>
      </c>
      <c r="C8" s="73" t="n">
        <v>2</v>
      </c>
      <c r="D8" s="73" t="n"/>
      <c r="E8" s="73" t="n"/>
      <c r="F8" s="73" t="n">
        <v>70</v>
      </c>
      <c r="G8" s="94">
        <f>IF(COUNT(B8,D8,F8)&lt;3,"",ROUND(B8*(D8/F8),1))</f>
        <v/>
      </c>
      <c r="H8" s="94">
        <f>IF(COUNT(C8,E8,F8)&lt;3,"",ROUND(C8*(E8/F8),1))</f>
        <v/>
      </c>
      <c r="I8" s="83" t="inlineStr">
        <is>
          <t>フロントエンド。軽量</t>
        </is>
      </c>
    </row>
    <row r="9" ht="24" customHeight="1" s="52">
      <c r="A9" s="72" t="inlineStr">
        <is>
          <t>dify-plugin_daemon</t>
        </is>
      </c>
      <c r="B9" s="73" t="n">
        <v>1</v>
      </c>
      <c r="C9" s="73" t="n">
        <v>2</v>
      </c>
      <c r="D9" s="73" t="n"/>
      <c r="E9" s="73" t="n"/>
      <c r="F9" s="73" t="n">
        <v>70</v>
      </c>
      <c r="G9" s="94">
        <f>IF(COUNT(B9,D9,F9)&lt;3,"",ROUND(B9*(D9/F9),1))</f>
        <v/>
      </c>
      <c r="H9" s="94">
        <f>IF(COUNT(C9,E9,F9)&lt;3,"",ROUND(C9*(E9/F9),1))</f>
        <v/>
      </c>
      <c r="I9" s="83" t="inlineStr">
        <is>
          <t>プラグイン実行</t>
        </is>
      </c>
    </row>
    <row r="10" ht="24" customHeight="1" s="52">
      <c r="A10" s="72" t="inlineStr">
        <is>
          <t>dify-sandbox</t>
        </is>
      </c>
      <c r="B10" s="73" t="n">
        <v>1</v>
      </c>
      <c r="C10" s="73" t="n">
        <v>2</v>
      </c>
      <c r="D10" s="73" t="n"/>
      <c r="E10" s="73" t="n"/>
      <c r="F10" s="73" t="n">
        <v>70</v>
      </c>
      <c r="G10" s="94">
        <f>IF(COUNT(B10,D10,F10)&lt;3,"",ROUND(B10*(D10/F10),1))</f>
        <v/>
      </c>
      <c r="H10" s="94">
        <f>IF(COUNT(C10,E10,F10)&lt;3,"",ROUND(C10*(E10/F10),1))</f>
        <v/>
      </c>
      <c r="I10" s="83" t="inlineStr">
        <is>
          <t>コード実行サンドボックス</t>
        </is>
      </c>
    </row>
    <row r="12" ht="14.15" customHeight="1" s="52">
      <c r="A12" s="79" t="inlineStr">
        <is>
          <t>計算式: 必要vCPU = 現在の割当vCPU × (実測ピークCPU% ÷ 目標使用率) / 必要メモリも同様。目標使用率は既定70%（ピーク時でも余裕を残す値）</t>
        </is>
      </c>
    </row>
    <row r="13" ht="14.15" customHeight="1" s="52">
      <c r="A13" s="79" t="inlineStr">
        <is>
          <t>実測ピークCPU%・MEM%は 7.3節の集計スクリプト（7.5.1）の出力（cpu_peak% / mem_peak%）をそのまま転記する。現在の割当は docker inspect（7.3節）で確認。</t>
        </is>
      </c>
    </row>
    <row r="33" ht="21.75" customHeight="1" s="52">
      <c r="A33" s="55" t="inlineStr">
        <is>
          <t>② 水平スケール算出（レプリカ数の目安）</t>
        </is>
      </c>
    </row>
    <row r="34" ht="30" customHeight="1" s="52">
      <c r="A34" s="56" t="inlineStr">
        <is>
          <t>コンテナ名</t>
        </is>
      </c>
      <c r="B34" s="69" t="inlineStr">
        <is>
          <t>1レプリカの実効
同時実行数上限</t>
        </is>
      </c>
      <c r="C34" s="70" t="inlineStr">
        <is>
          <t>目標
同時実行数</t>
        </is>
      </c>
      <c r="D34" s="76" t="inlineStr">
        <is>
          <t>必要レプリカ数
(自動)</t>
        </is>
      </c>
      <c r="E34" s="56" t="inlineStr">
        <is>
          <t>備考</t>
        </is>
      </c>
    </row>
    <row r="35" ht="25.5" customHeight="1" s="52">
      <c r="A35" s="72" t="inlineStr">
        <is>
          <t>dify-worker</t>
        </is>
      </c>
      <c r="B35" s="73" t="n">
        <v>10</v>
      </c>
      <c r="C35" s="73" t="n">
        <v>50</v>
      </c>
      <c r="D35" s="94">
        <f>IF(COUNT(B35,C35)&lt;2,"",ROUNDUP(C35/B35,0))</f>
        <v/>
      </c>
      <c r="E35" s="82" t="inlineStr">
        <is>
          <t>F2_飽和点_Bの「許容」上限を転記。worker はCeleryで水平スケール対応</t>
        </is>
      </c>
    </row>
    <row r="36" ht="25.5" customHeight="1" s="52">
      <c r="A36" s="72" t="inlineStr">
        <is>
          <t>dify-api</t>
        </is>
      </c>
      <c r="B36" s="73" t="n"/>
      <c r="C36" s="73" t="n"/>
      <c r="D36" s="94">
        <f>IF(COUNT(B36,C36)&lt;2,"",ROUNDUP(C36/B36,0))</f>
        <v/>
      </c>
      <c r="E36" s="82" t="inlineStr">
        <is>
          <t>HTTP受付主体。通常は先にworkerが詰まるため優先度低</t>
        </is>
      </c>
    </row>
    <row r="38" ht="14.15" customHeight="1" s="52">
      <c r="A38" s="79" t="inlineStr">
        <is>
          <t>計算式: 必要レプリカ数 = CEILING(目標同時実行数 ÷ 1レプリカの実効同時実行数上限)。上限値はF2_飽和点_Bシートの「許容」判定の最大同時実行数を使用</t>
        </is>
      </c>
    </row>
    <row r="39" ht="14.15" customHeight="1" s="52">
      <c r="A39" s="95" t="inlineStr">
        <is>
          <t>注: PostgreSQL・Redisは単純なレプリカ増では対応できない。レプリカ数を増やす場合はDB側の余力（7.3節の長時間クエリ確認）も併せて確認すること</t>
        </is>
      </c>
    </row>
  </sheetData>
  <mergeCells count="8">
    <mergeCell ref="A33:I33"/>
    <mergeCell ref="A2:I2"/>
    <mergeCell ref="A13:I13"/>
    <mergeCell ref="A1:I1"/>
    <mergeCell ref="A39:I39"/>
    <mergeCell ref="A12:I12"/>
    <mergeCell ref="A4:I4"/>
    <mergeCell ref="A38:I3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1" min="1" max="1"/>
    <col width="12" customWidth="1" style="51" min="2" max="5"/>
    <col width="10" customWidth="1" style="51" min="6" max="6"/>
    <col width="40" customWidth="1" style="51" min="7" max="7"/>
  </cols>
  <sheetData>
    <row r="1" ht="30" customHeight="1" s="52">
      <c r="A1" s="53" t="inlineStr">
        <is>
          <t>結果サマリ</t>
        </is>
      </c>
    </row>
    <row r="2" ht="18" customHeight="1" s="52">
      <c r="A2" s="67" t="inlineStr">
        <is>
          <t>各フェーズの測定値から、最終的な性能諸元をまとめる</t>
        </is>
      </c>
    </row>
    <row r="4" ht="30" customHeight="1" s="52">
      <c r="A4" s="70" t="inlineStr">
        <is>
          <t>プロファイル</t>
        </is>
      </c>
      <c r="B4" s="70" t="inlineStr">
        <is>
          <t>同時実行</t>
        </is>
      </c>
      <c r="C4" s="69" t="inlineStr">
        <is>
          <t>TTFT P95
(秒)</t>
        </is>
      </c>
      <c r="D4" s="69" t="inlineStr">
        <is>
          <t>TPOT P95
(ms)</t>
        </is>
      </c>
      <c r="E4" s="70" t="inlineStr">
        <is>
          <t>出力tok/s</t>
        </is>
      </c>
      <c r="F4" s="76" t="inlineStr">
        <is>
          <t>判定</t>
        </is>
      </c>
      <c r="G4" s="70" t="inlineStr">
        <is>
          <t>コメント</t>
        </is>
      </c>
    </row>
    <row r="5" ht="24" customHeight="1" s="52">
      <c r="A5" s="96" t="n"/>
      <c r="B5" s="97" t="n"/>
      <c r="C5" s="97" t="n"/>
      <c r="D5" s="97" t="n"/>
      <c r="E5" s="97" t="n"/>
      <c r="F5" s="78">
        <f>IF(COUNT(C5,D5)&lt;2,"",IF(OR(C5&gt;5,D5&gt;100),"不可",IF(OR(C5&gt;3,D5&gt;50),"飽和",IF(OR(C5&gt;1,D5&gt;30),"許容","快適"))))</f>
        <v/>
      </c>
      <c r="G5" s="96" t="n"/>
    </row>
    <row r="6" ht="24" customHeight="1" s="52">
      <c r="A6" s="96" t="n"/>
      <c r="B6" s="97" t="n"/>
      <c r="C6" s="97" t="n"/>
      <c r="D6" s="97" t="n"/>
      <c r="E6" s="97" t="n"/>
      <c r="F6" s="78">
        <f>IF(COUNT(C6,D6)&lt;2,"",IF(OR(C6&gt;5,D6&gt;100),"不可",IF(OR(C6&gt;3,D6&gt;50),"飽和",IF(OR(C6&gt;1,D6&gt;30),"許容","快適"))))</f>
        <v/>
      </c>
      <c r="G6" s="96" t="n"/>
    </row>
    <row r="7" ht="24" customHeight="1" s="52">
      <c r="A7" s="96" t="n"/>
      <c r="B7" s="97" t="n"/>
      <c r="C7" s="97" t="n"/>
      <c r="D7" s="97" t="n"/>
      <c r="E7" s="97" t="n"/>
      <c r="F7" s="78">
        <f>IF(COUNT(C7,D7)&lt;2,"",IF(OR(C7&gt;5,D7&gt;100),"不可",IF(OR(C7&gt;3,D7&gt;50),"飽和",IF(OR(C7&gt;1,D7&gt;30),"許容","快適"))))</f>
        <v/>
      </c>
      <c r="G7" s="96" t="n"/>
    </row>
    <row r="8" ht="24" customHeight="1" s="52">
      <c r="A8" s="96" t="n"/>
      <c r="B8" s="97" t="n"/>
      <c r="C8" s="97" t="n"/>
      <c r="D8" s="97" t="n"/>
      <c r="E8" s="97" t="n"/>
      <c r="F8" s="78">
        <f>IF(COUNT(C8,D8)&lt;2,"",IF(OR(C8&gt;5,D8&gt;100),"不可",IF(OR(C8&gt;3,D8&gt;50),"飽和",IF(OR(C8&gt;1,D8&gt;30),"許容","快適"))))</f>
        <v/>
      </c>
      <c r="G8" s="96" t="n"/>
    </row>
    <row r="9" ht="24" customHeight="1" s="52">
      <c r="A9" s="96" t="n"/>
      <c r="B9" s="97" t="n"/>
      <c r="C9" s="97" t="n"/>
      <c r="D9" s="97" t="n"/>
      <c r="E9" s="97" t="n"/>
      <c r="F9" s="78">
        <f>IF(COUNT(C9,D9)&lt;2,"",IF(OR(C9&gt;5,D9&gt;100),"不可",IF(OR(C9&gt;3,D9&gt;50),"飽和",IF(OR(C9&gt;1,D9&gt;30),"許容","快適"))))</f>
        <v/>
      </c>
      <c r="G9" s="96" t="n"/>
    </row>
    <row r="10" ht="24" customHeight="1" s="52">
      <c r="A10" s="96" t="n"/>
      <c r="B10" s="97" t="n"/>
      <c r="C10" s="97" t="n"/>
      <c r="D10" s="97" t="n"/>
      <c r="E10" s="97" t="n"/>
      <c r="F10" s="78">
        <f>IF(COUNT(C10,D10)&lt;2,"",IF(OR(C10&gt;5,D10&gt;100),"不可",IF(OR(C10&gt;3,D10&gt;50),"飽和",IF(OR(C10&gt;1,D10&gt;30),"許容","快適"))))</f>
        <v/>
      </c>
      <c r="G10" s="96" t="n"/>
    </row>
    <row r="11" ht="24" customHeight="1" s="52">
      <c r="A11" s="96" t="n"/>
      <c r="B11" s="97" t="n"/>
      <c r="C11" s="97" t="n"/>
      <c r="D11" s="97" t="n"/>
      <c r="E11" s="97" t="n"/>
      <c r="F11" s="78">
        <f>IF(COUNT(C11,D11)&lt;2,"",IF(OR(C11&gt;5,D11&gt;100),"不可",IF(OR(C11&gt;3,D11&gt;50),"飽和",IF(OR(C11&gt;1,D11&gt;30),"許容","快適"))))</f>
        <v/>
      </c>
      <c r="G11" s="96" t="n"/>
    </row>
    <row r="12" ht="24" customHeight="1" s="52">
      <c r="A12" s="96" t="n"/>
      <c r="B12" s="97" t="n"/>
      <c r="C12" s="97" t="n"/>
      <c r="D12" s="97" t="n"/>
      <c r="E12" s="97" t="n"/>
      <c r="F12" s="78">
        <f>IF(COUNT(C12,D12)&lt;2,"",IF(OR(C12&gt;5,D12&gt;100),"不可",IF(OR(C12&gt;3,D12&gt;50),"飽和",IF(OR(C12&gt;1,D12&gt;30),"許容","快適"))))</f>
        <v/>
      </c>
      <c r="G12" s="96" t="n"/>
    </row>
    <row r="14" ht="15" customHeight="1" s="52">
      <c r="A14" s="74" t="inlineStr">
        <is>
          <t>記入例:</t>
        </is>
      </c>
    </row>
    <row r="15" ht="19.5" customHeight="1" s="52">
      <c r="A15" s="98" t="inlineStr">
        <is>
          <t>B (RAG標準)</t>
        </is>
      </c>
      <c r="B15" s="99" t="n">
        <v>5</v>
      </c>
      <c r="C15" s="99" t="n">
        <v>1.2</v>
      </c>
      <c r="D15" s="99" t="n">
        <v>25</v>
      </c>
      <c r="E15" s="99" t="n">
        <v>850</v>
      </c>
      <c r="F15" s="100" t="n"/>
      <c r="G15" s="101" t="inlineStr">
        <is>
          <t>快適に利用可能</t>
        </is>
      </c>
    </row>
    <row r="16" ht="19.5" customHeight="1" s="52">
      <c r="A16" s="98" t="inlineStr">
        <is>
          <t>B (RAG標準)</t>
        </is>
      </c>
      <c r="B16" s="99" t="n">
        <v>20</v>
      </c>
      <c r="C16" s="99" t="n">
        <v>3.5</v>
      </c>
      <c r="D16" s="99" t="n">
        <v>45</v>
      </c>
      <c r="E16" s="99" t="n">
        <v>2100</v>
      </c>
      <c r="F16" s="100" t="n"/>
      <c r="G16" s="101" t="inlineStr">
        <is>
          <t>実用上の推奨上限</t>
        </is>
      </c>
    </row>
    <row r="17" ht="19.5" customHeight="1" s="52">
      <c r="A17" s="98" t="inlineStr">
        <is>
          <t>B (RAG標準)</t>
        </is>
      </c>
      <c r="B17" s="99" t="n">
        <v>40</v>
      </c>
      <c r="C17" s="99" t="n">
        <v>12</v>
      </c>
      <c r="D17" s="99" t="n">
        <v>120</v>
      </c>
      <c r="E17" s="99" t="n">
        <v>2300</v>
      </c>
      <c r="F17" s="100" t="n"/>
      <c r="G17" s="101" t="inlineStr">
        <is>
          <t>飽和。この手前で運用</t>
        </is>
      </c>
    </row>
    <row r="19" ht="24" customHeight="1" s="52">
      <c r="A19" s="102" t="inlineStr">
        <is>
          <t>判定列は TTFT P95 / TPOT P95 から自動算出（快適: TTFT&lt;1s かつ TPOT&lt;30ms / 許容: TTFT&lt;3s かつ TPOT&lt;50ms / 飽和: TTFT&lt;5s かつ TPOT&lt;100ms / 不可: それ以上）</t>
        </is>
      </c>
    </row>
  </sheetData>
  <mergeCells count="3">
    <mergeCell ref="A19:G19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2026-08-30T07:01:07Z</dcterms:created>
  <dcterms:modified xsi:type="dcterms:W3CDTF">2026-08-30T07:41:52Z</dcterms:modified>
  <cp:revision>1</cp:revision>
</cp:coreProperties>
</file>